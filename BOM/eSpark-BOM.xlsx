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tthewgraff-arduinomegapcb\BOM\"/>
    </mc:Choice>
  </mc:AlternateContent>
  <bookViews>
    <workbookView xWindow="-120" yWindow="-120" windowWidth="29040" windowHeight="15840" activeTab="1"/>
  </bookViews>
  <sheets>
    <sheet name="5 boards" sheetId="1" r:id="rId1"/>
    <sheet name="40 Boards" sheetId="2" r:id="rId2"/>
  </sheets>
  <calcPr calcId="162913"/>
</workbook>
</file>

<file path=xl/calcChain.xml><?xml version="1.0" encoding="utf-8"?>
<calcChain xmlns="http://schemas.openxmlformats.org/spreadsheetml/2006/main">
  <c r="Q21" i="1" l="1"/>
  <c r="Q21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10" i="2"/>
  <c r="Q88" i="2"/>
  <c r="B88" i="2"/>
  <c r="Q87" i="2"/>
  <c r="B87" i="2"/>
  <c r="Q86" i="2"/>
  <c r="B86" i="2"/>
  <c r="Q85" i="2"/>
  <c r="B85" i="2"/>
  <c r="Q84" i="2"/>
  <c r="B84" i="2"/>
  <c r="Q83" i="2"/>
  <c r="B83" i="2"/>
  <c r="Q82" i="2"/>
  <c r="B82" i="2"/>
  <c r="Q81" i="2"/>
  <c r="B81" i="2"/>
  <c r="Q80" i="2"/>
  <c r="B80" i="2"/>
  <c r="Q79" i="2"/>
  <c r="Q78" i="2"/>
  <c r="B78" i="2"/>
  <c r="Q77" i="2"/>
  <c r="B77" i="2"/>
  <c r="Q76" i="2"/>
  <c r="B76" i="2"/>
  <c r="Q75" i="2"/>
  <c r="B75" i="2"/>
  <c r="Q74" i="2"/>
  <c r="B74" i="2"/>
  <c r="Q73" i="2"/>
  <c r="B73" i="2"/>
  <c r="B72" i="2"/>
  <c r="Q71" i="2"/>
  <c r="B71" i="2"/>
  <c r="Q70" i="2"/>
  <c r="B70" i="2"/>
  <c r="Q69" i="2"/>
  <c r="B69" i="2"/>
  <c r="Q68" i="2"/>
  <c r="B68" i="2"/>
  <c r="Q67" i="2"/>
  <c r="B67" i="2"/>
  <c r="Q66" i="2"/>
  <c r="B66" i="2"/>
  <c r="Q65" i="2"/>
  <c r="B65" i="2"/>
  <c r="Q64" i="2"/>
  <c r="B64" i="2"/>
  <c r="Q63" i="2"/>
  <c r="B63" i="2"/>
  <c r="Q62" i="2"/>
  <c r="B62" i="2"/>
  <c r="Q61" i="2"/>
  <c r="B61" i="2"/>
  <c r="Q60" i="2"/>
  <c r="B60" i="2"/>
  <c r="Q59" i="2"/>
  <c r="B59" i="2"/>
  <c r="Q58" i="2"/>
  <c r="B58" i="2"/>
  <c r="Q57" i="2"/>
  <c r="B57" i="2"/>
  <c r="Q56" i="2"/>
  <c r="B56" i="2"/>
  <c r="Q55" i="2"/>
  <c r="B55" i="2"/>
  <c r="Q54" i="2"/>
  <c r="B54" i="2"/>
  <c r="Q53" i="2"/>
  <c r="B53" i="2"/>
  <c r="Q52" i="2"/>
  <c r="B52" i="2"/>
  <c r="Q51" i="2"/>
  <c r="B51" i="2"/>
  <c r="B50" i="2"/>
  <c r="Q49" i="2"/>
  <c r="B49" i="2"/>
  <c r="B48" i="2"/>
  <c r="Q47" i="2"/>
  <c r="B47" i="2"/>
  <c r="Q46" i="2"/>
  <c r="B46" i="2"/>
  <c r="Q45" i="2"/>
  <c r="B45" i="2"/>
  <c r="Q44" i="2"/>
  <c r="B44" i="2"/>
  <c r="Q43" i="2"/>
  <c r="B43" i="2"/>
  <c r="Q42" i="2"/>
  <c r="B42" i="2"/>
  <c r="B41" i="2"/>
  <c r="Q40" i="2"/>
  <c r="B40" i="2"/>
  <c r="Q39" i="2"/>
  <c r="B39" i="2"/>
  <c r="Q38" i="2"/>
  <c r="B38" i="2"/>
  <c r="Q37" i="2"/>
  <c r="B37" i="2"/>
  <c r="Q36" i="2"/>
  <c r="B36" i="2"/>
  <c r="Q35" i="2"/>
  <c r="B35" i="2"/>
  <c r="Q34" i="2"/>
  <c r="B34" i="2"/>
  <c r="Q33" i="2"/>
  <c r="B33" i="2"/>
  <c r="Q32" i="2"/>
  <c r="B32" i="2"/>
  <c r="Q31" i="2"/>
  <c r="B31" i="2"/>
  <c r="Q30" i="2"/>
  <c r="B30" i="2"/>
  <c r="Q29" i="2"/>
  <c r="B29" i="2"/>
  <c r="Q28" i="2"/>
  <c r="B28" i="2"/>
  <c r="Q27" i="2"/>
  <c r="B27" i="2"/>
  <c r="Q26" i="2"/>
  <c r="B26" i="2"/>
  <c r="Q25" i="2"/>
  <c r="B25" i="2"/>
  <c r="Q24" i="2"/>
  <c r="B24" i="2"/>
  <c r="Q23" i="2"/>
  <c r="B23" i="2"/>
  <c r="Q22" i="2"/>
  <c r="B22" i="2"/>
  <c r="Q20" i="2"/>
  <c r="B20" i="2"/>
  <c r="Q19" i="2"/>
  <c r="B19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Q84" i="1"/>
  <c r="M84" i="1"/>
  <c r="B84" i="1"/>
  <c r="Q71" i="1"/>
  <c r="M71" i="1"/>
  <c r="B71" i="1"/>
  <c r="Q70" i="1"/>
  <c r="M70" i="1"/>
  <c r="B70" i="1"/>
  <c r="M21" i="1"/>
  <c r="Q89" i="2" l="1"/>
  <c r="Q90" i="2" s="1"/>
  <c r="Q79" i="1"/>
  <c r="M79" i="1"/>
  <c r="M87" i="1"/>
  <c r="M88" i="1"/>
  <c r="Q88" i="1"/>
  <c r="Q87" i="1"/>
  <c r="Q86" i="1"/>
  <c r="M86" i="1"/>
  <c r="B86" i="1"/>
  <c r="B87" i="1"/>
  <c r="B88" i="1"/>
  <c r="Q20" i="1"/>
  <c r="M20" i="1"/>
  <c r="B20" i="1"/>
  <c r="Q36" i="1"/>
  <c r="M36" i="1"/>
  <c r="B36" i="1"/>
  <c r="Q85" i="1"/>
  <c r="M85" i="1"/>
  <c r="B85" i="1"/>
  <c r="Q83" i="1"/>
  <c r="M83" i="1"/>
  <c r="B83" i="1"/>
  <c r="Q82" i="1"/>
  <c r="M82" i="1"/>
  <c r="B82" i="1"/>
  <c r="Q81" i="1"/>
  <c r="M81" i="1"/>
  <c r="B81" i="1"/>
  <c r="Q80" i="1"/>
  <c r="M80" i="1"/>
  <c r="B80" i="1"/>
  <c r="Q78" i="1"/>
  <c r="M78" i="1"/>
  <c r="B78" i="1"/>
  <c r="Q77" i="1"/>
  <c r="M77" i="1"/>
  <c r="B77" i="1"/>
  <c r="Q76" i="1"/>
  <c r="M76" i="1"/>
  <c r="B76" i="1"/>
  <c r="Q75" i="1"/>
  <c r="M75" i="1"/>
  <c r="B75" i="1"/>
  <c r="Q74" i="1"/>
  <c r="M74" i="1"/>
  <c r="B74" i="1"/>
  <c r="Q73" i="1"/>
  <c r="M73" i="1"/>
  <c r="B73" i="1"/>
  <c r="M72" i="1"/>
  <c r="B72" i="1"/>
  <c r="Q69" i="1"/>
  <c r="M69" i="1"/>
  <c r="B69" i="1"/>
  <c r="Q68" i="1"/>
  <c r="M68" i="1"/>
  <c r="B68" i="1"/>
  <c r="Q67" i="1"/>
  <c r="M67" i="1"/>
  <c r="B67" i="1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M50" i="1"/>
  <c r="B50" i="1"/>
  <c r="Q49" i="1"/>
  <c r="M49" i="1"/>
  <c r="B49" i="1"/>
  <c r="Q47" i="1"/>
  <c r="M47" i="1"/>
  <c r="B47" i="1"/>
  <c r="M48" i="1"/>
  <c r="B48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Q10" i="1"/>
  <c r="M11" i="1"/>
  <c r="M10" i="1"/>
  <c r="B11" i="1"/>
  <c r="B10" i="1"/>
  <c r="Q89" i="1" l="1"/>
  <c r="Q90" i="1" s="1"/>
</calcChain>
</file>

<file path=xl/sharedStrings.xml><?xml version="1.0" encoding="utf-8"?>
<sst xmlns="http://schemas.openxmlformats.org/spreadsheetml/2006/main" count="1657" uniqueCount="476">
  <si>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</si>
  <si>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</si>
  <si>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</si>
  <si>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</si>
  <si>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</si>
  <si>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</si>
  <si>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</si>
  <si>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</si>
  <si>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</si>
  <si>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</si>
  <si>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Diode</t>
  </si>
  <si>
    <t>TVS Diode</t>
  </si>
  <si>
    <t>Fuse</t>
  </si>
  <si>
    <t>Ferrite Bead</t>
  </si>
  <si>
    <t>USB Connector</t>
  </si>
  <si>
    <t>Terminal Block</t>
  </si>
  <si>
    <t>SIM Card Connectors</t>
  </si>
  <si>
    <t>Connector</t>
  </si>
  <si>
    <t>SD Card Connector</t>
  </si>
  <si>
    <t>Inductor</t>
  </si>
  <si>
    <t>LED</t>
  </si>
  <si>
    <t>OLED Module</t>
  </si>
  <si>
    <t>Mosfet</t>
  </si>
  <si>
    <t>Resistor</t>
  </si>
  <si>
    <t>IC</t>
  </si>
  <si>
    <t>Module</t>
  </si>
  <si>
    <t>Crystal</t>
  </si>
  <si>
    <t>Designator</t>
  </si>
  <si>
    <t>C1</t>
  </si>
  <si>
    <t>C3, C5</t>
  </si>
  <si>
    <t>C8</t>
  </si>
  <si>
    <t>C11, C14, C15, C16, C17, C18, C23, C24, C25, C26, C27, C28</t>
  </si>
  <si>
    <t>C39</t>
  </si>
  <si>
    <t>C42, C43</t>
  </si>
  <si>
    <t>D1, D2, D3, D17, D18, D23, D24</t>
  </si>
  <si>
    <t>D4, D5</t>
  </si>
  <si>
    <t>D6</t>
  </si>
  <si>
    <t>D7</t>
  </si>
  <si>
    <t>D8, D9, D10, D11, D12, D13, D14, D15</t>
  </si>
  <si>
    <t>D16</t>
  </si>
  <si>
    <t>D19, D20, D21</t>
  </si>
  <si>
    <t>D22</t>
  </si>
  <si>
    <t>D25, D26, D27, D28, D29</t>
  </si>
  <si>
    <t>F1</t>
  </si>
  <si>
    <t>F2, F3</t>
  </si>
  <si>
    <t>FB1</t>
  </si>
  <si>
    <t>FB2, FB3, FB4, FB5, FB6, FB7, FB8, FB9</t>
  </si>
  <si>
    <t>J4, J5, J6, J7, J11, J15</t>
  </si>
  <si>
    <t>J8, J10</t>
  </si>
  <si>
    <t>J9</t>
  </si>
  <si>
    <t>J12</t>
  </si>
  <si>
    <t>J13</t>
  </si>
  <si>
    <t>J14</t>
  </si>
  <si>
    <t>L1</t>
  </si>
  <si>
    <t>L2</t>
  </si>
  <si>
    <t>L3</t>
  </si>
  <si>
    <t>LED7</t>
  </si>
  <si>
    <t>P1, P2, P3, P4, P5, P6</t>
  </si>
  <si>
    <t>Q1, Q2, Q3, Q4</t>
  </si>
  <si>
    <t>R1</t>
  </si>
  <si>
    <t>R2</t>
  </si>
  <si>
    <t>R4</t>
  </si>
  <si>
    <t>R5</t>
  </si>
  <si>
    <t>R6, R44</t>
  </si>
  <si>
    <t>R7, R25, R26</t>
  </si>
  <si>
    <t>R10, R11, R16, R17</t>
  </si>
  <si>
    <t>R20</t>
  </si>
  <si>
    <t>R21, R22, R23</t>
  </si>
  <si>
    <t>R27, R29, R31, R33, R36, R37</t>
  </si>
  <si>
    <t>R28, R30, R32, R34</t>
  </si>
  <si>
    <t>R35</t>
  </si>
  <si>
    <t>R41, R45, R46</t>
  </si>
  <si>
    <t>R42</t>
  </si>
  <si>
    <t>R43</t>
  </si>
  <si>
    <t>R47</t>
  </si>
  <si>
    <t>R48</t>
  </si>
  <si>
    <t>SB1, SB2</t>
  </si>
  <si>
    <t>SW1</t>
  </si>
  <si>
    <t>U1</t>
  </si>
  <si>
    <t>U2</t>
  </si>
  <si>
    <t>U3</t>
  </si>
  <si>
    <t>U4, U5, U6, U7</t>
  </si>
  <si>
    <t>U10</t>
  </si>
  <si>
    <t>U11</t>
  </si>
  <si>
    <t>U12</t>
  </si>
  <si>
    <t>U13</t>
  </si>
  <si>
    <t>X1</t>
  </si>
  <si>
    <t>Description</t>
  </si>
  <si>
    <t>CAP CER 10UF 16V X5R 0603</t>
  </si>
  <si>
    <t>CAP CER 0.1UF 50V X5R 0603</t>
  </si>
  <si>
    <t>CAP ALUM POLY 120UF 20% 20V SMD</t>
  </si>
  <si>
    <t>CAP TANT POLY 330UF 6.3V 2917</t>
  </si>
  <si>
    <t>CAP CER 10000PF 16V X7R 0603</t>
  </si>
  <si>
    <t>CAP CER 1UF 25V X5R 0603</t>
  </si>
  <si>
    <t>CAP CER 33PF 25V C0G/NP0 0402</t>
  </si>
  <si>
    <t>CAP CER 20PF 50V C0G/NPO 0603</t>
  </si>
  <si>
    <t>CAP CER 4.7UF 16V X5R 0603</t>
  </si>
  <si>
    <t>TVS DIODE 5VWM 6.3VC DSN0603-2</t>
  </si>
  <si>
    <t>16A 20V 7V 5V@Max Unidirectional SOT-23 TVS ROHS</t>
  </si>
  <si>
    <t>0.5mA@40V 40V Single 3A 0.55V@3A SMA(DO-214AC) Schottky Barrier Diodes (SBD) ROHS</t>
  </si>
  <si>
    <t>DIODE GEN PURP 75V 150MA SOD323</t>
  </si>
  <si>
    <t>TVS DIODE 3VWM SOT3235</t>
  </si>
  <si>
    <t>35A@8/20us 15V 4.5V@Max Unidirectional DFN1006 TVS ROHS</t>
  </si>
  <si>
    <t>0402 TVS ROHS</t>
  </si>
  <si>
    <t>DFN1006-2L ESD Protection Devices ROHS</t>
  </si>
  <si>
    <t>PTC RESET FUSE 6V 3A 1206</t>
  </si>
  <si>
    <t>6V 500mA 40A 1A 0603 Resettable Fuses ROHS</t>
  </si>
  <si>
    <t>FERRITE BEAD 120 OHM 1206 1LN</t>
  </si>
  <si>
    <t>FERRITE BEAD 1K OHM 0805 1LN</t>
  </si>
  <si>
    <t>CONN RCPT USB2.0 MICRO B SMD R/A</t>
  </si>
  <si>
    <t>CONN U.FL RCPT STR 50 OHM SMD</t>
  </si>
  <si>
    <t>Copper Alloy Self bomb Gold plating 1.25mm Deck -40℃~+85℃ 260℃ NanoSIM SMD SIM Card Connectors ROHS</t>
  </si>
  <si>
    <t>2.54mm -40℃~+105℃ Straight 3A 250V 5 Push - Pull 2.54mm 2 Plugin,P=2.54mm IDC Connectors ROHS</t>
  </si>
  <si>
    <t>2.54mm -40℃~+105℃ Straight 3A 250V 3 Push - Pull 2.54mm 2 Plugin,P=2.54mm IDC Connectors ROHS</t>
  </si>
  <si>
    <t>CONN MICRO SD CARD PUSH-PUSH R/A</t>
  </si>
  <si>
    <t>22uH ±20% SMD Power Inductors ROHS</t>
  </si>
  <si>
    <t>2.6A 22uH ±20% 0.085Ω 2.6A SMD,12.95x9.4x5.21mm Power Inductors ROHS</t>
  </si>
  <si>
    <t>FIXED IND 27NH 590MA 116MOHM SMD</t>
  </si>
  <si>
    <t>Red 632nm LED Indication - Discrete 2.05V 0603 (1608 Metric)</t>
  </si>
  <si>
    <t>Yellow-Green 572nm LED Indication - Discrete 2.05V 0603 (1608 Metric)</t>
  </si>
  <si>
    <t>ZIO QWIIC 1.5INCH OLED DISPLAY</t>
  </si>
  <si>
    <t>Test Point ON</t>
  </si>
  <si>
    <t>40V 100mW 100@10mA,1V 200mA 300MHz 300mV@50mA,5mA NPN -55℃~+150℃@(Tj) SOT-723 Bipolar Transistors - BJT ROHS</t>
  </si>
  <si>
    <t>RES SMD 2.1K OHM 0.1% 1/10W 0603</t>
  </si>
  <si>
    <t>RES SMD 1K OHM 0.1% 1/10W 0603</t>
  </si>
  <si>
    <t>RES SMD 10K Ohm 1% 1/10W 0603</t>
  </si>
  <si>
    <t>RES SMD 62K OHM 0.1% 1/10W 0603</t>
  </si>
  <si>
    <t>RES SMD 3.16KOHM 0.1% 1/10W 0603</t>
  </si>
  <si>
    <t>RES SMD 1.2K OHM 1% 1/10W 0603</t>
  </si>
  <si>
    <t>RES 180 OHM 1% 1/10W 0603</t>
  </si>
  <si>
    <t>RES 16K OHM 0.5% 1/10W 0603</t>
  </si>
  <si>
    <t>RES SMD 10 OHM 1% 1/10W 0603</t>
  </si>
  <si>
    <t>RES 22 OHM 1% 1/10W 0603</t>
  </si>
  <si>
    <t>RES SMD 4.7K OHM 5% 1/10W 0603</t>
  </si>
  <si>
    <t>RES 47K OHM 5% 1/10W 0603</t>
  </si>
  <si>
    <t>RES SMD 1M OHM 1% 1/10W 0603</t>
  </si>
  <si>
    <t>RES 470 OHM 1% 1/10W 0603</t>
  </si>
  <si>
    <t>RES 22.1K OHM 1% 1/10W 0603</t>
  </si>
  <si>
    <t>RES 47.5K OHM 1% 1/10W 0603</t>
  </si>
  <si>
    <t>RES 22 OHM 1% 1/16W 0402</t>
  </si>
  <si>
    <t>RES 100K OHM 1% 1/16W 0402</t>
  </si>
  <si>
    <t>Solder Bridge ON</t>
  </si>
  <si>
    <t>SWITCH TACTILE SPST-NO 0.05A 12V</t>
  </si>
  <si>
    <t>15V 1.3V @ 800mA Fixed 3.3V SOT-223 Linear Voltage Regulators (LDO) ROHS</t>
  </si>
  <si>
    <t>IC REG BUCK ADJ 3A TO263-5</t>
  </si>
  <si>
    <t>boost converterType 1 Boost 28V 2V~24V 1.2MHz SOT-23-6 DC-DC Converters ROHS</t>
  </si>
  <si>
    <t>IC CONV THERMOCOUPLE 14TSSOP</t>
  </si>
  <si>
    <t>IC TRNSLTR BIDIRECTIONAL US8</t>
  </si>
  <si>
    <t>IC TRANSLATOR BIDIR 14TSSOP</t>
  </si>
  <si>
    <t>eMTC CAT-M1 Module 700MHz/1700MHz/1900MHz 3.8V LCC</t>
  </si>
  <si>
    <t>IC MCU 8BIT 256KB FLASH 100TQFP</t>
  </si>
  <si>
    <t>IC USB TO UART BRIDGE QFN24</t>
  </si>
  <si>
    <t>16MHz SMD Crystal Resonator 9pF ±10ppm ±30ppm -40℃~+85℃ SMD3225-4P Crystals ROHS</t>
  </si>
  <si>
    <t>Footprint</t>
  </si>
  <si>
    <t>Cap-0603</t>
  </si>
  <si>
    <t>20SVPF120M</t>
  </si>
  <si>
    <t>Case-D</t>
  </si>
  <si>
    <t>Cap-0402</t>
  </si>
  <si>
    <t>DSN0603-2</t>
  </si>
  <si>
    <t>Sot-23</t>
  </si>
  <si>
    <t>SMA</t>
  </si>
  <si>
    <t>SOD-323</t>
  </si>
  <si>
    <t>SOT-323-5</t>
  </si>
  <si>
    <t>DFN1006-2L_</t>
  </si>
  <si>
    <t>Diode 0402</t>
  </si>
  <si>
    <t>Fuse 1206 (3216 Metric)</t>
  </si>
  <si>
    <t>Fuse-0603</t>
  </si>
  <si>
    <t>IND-1206</t>
  </si>
  <si>
    <t>Ind-0805</t>
  </si>
  <si>
    <t>XKNANO-113</t>
  </si>
  <si>
    <t>BH254V-10P</t>
  </si>
  <si>
    <t>BH254V-6P</t>
  </si>
  <si>
    <t>DM3BT-DSF-PEJS</t>
  </si>
  <si>
    <t>SMRH74-220MT</t>
  </si>
  <si>
    <t>SSL0804T-220M-N</t>
  </si>
  <si>
    <t>IND-0603 (1608 Metric)</t>
  </si>
  <si>
    <t>LED-0603</t>
  </si>
  <si>
    <t>ZIO-101954</t>
  </si>
  <si>
    <t>Test-point</t>
  </si>
  <si>
    <t>SOT-723</t>
  </si>
  <si>
    <t>Res-0603</t>
  </si>
  <si>
    <t>Res-0402</t>
  </si>
  <si>
    <t>Solder Bridge</t>
  </si>
  <si>
    <t>SOT- 223</t>
  </si>
  <si>
    <t>DDPAK</t>
  </si>
  <si>
    <t>SOT-23-6</t>
  </si>
  <si>
    <t>14-TSSOP</t>
  </si>
  <si>
    <t>VSSOP-8(2x2.3x0.5)</t>
  </si>
  <si>
    <t>SIM7000A</t>
  </si>
  <si>
    <t>TQFP-100(14x14)</t>
  </si>
  <si>
    <t>24-QFN (4x4)</t>
  </si>
  <si>
    <t>SMD3225-4P</t>
  </si>
  <si>
    <t>Manufacturer Part Number</t>
  </si>
  <si>
    <t>CC0603KRX5R7BB106</t>
  </si>
  <si>
    <t>CC0603KRX5R9BB104</t>
  </si>
  <si>
    <t>6TPB330ML</t>
  </si>
  <si>
    <t>CC0603KRX7R7BB103</t>
  </si>
  <si>
    <t>CC0603KRX5R8BB105</t>
  </si>
  <si>
    <t>GRM1555C1E330JA01D</t>
  </si>
  <si>
    <t>CC0603JRNPO9BN200</t>
  </si>
  <si>
    <t>CC0603KRX5R7BB475</t>
  </si>
  <si>
    <t>PESD5V0H1BSFYL</t>
  </si>
  <si>
    <t>ESD5302F-3/TR</t>
  </si>
  <si>
    <t>SS34</t>
  </si>
  <si>
    <t>SS32</t>
  </si>
  <si>
    <t>1N4148WS-7-F</t>
  </si>
  <si>
    <t>ESDA6V1W5</t>
  </si>
  <si>
    <t>ESD5651N-2/TR</t>
  </si>
  <si>
    <t>LXES15AAA1-153</t>
  </si>
  <si>
    <t>ESD5451N-2/TR</t>
  </si>
  <si>
    <t>1206L300SLTHYR</t>
  </si>
  <si>
    <t>SMD0603-050</t>
  </si>
  <si>
    <t>BLM31PG121SN1L</t>
  </si>
  <si>
    <t>MMZ2012R102ATD25</t>
  </si>
  <si>
    <t>10118194-0001LF</t>
  </si>
  <si>
    <t>U.FL-R-SMT-1(80)</t>
  </si>
  <si>
    <t>LQW18AN27NG10D</t>
  </si>
  <si>
    <t>19-21/R7C-AK1L2BY/3T</t>
  </si>
  <si>
    <t>19-21/G6C-FM1N2B/3T</t>
  </si>
  <si>
    <t>MMBT3904M</t>
  </si>
  <si>
    <t>RT0603BRD072K1L</t>
  </si>
  <si>
    <t>RT0603BRD071KL</t>
  </si>
  <si>
    <t>RC0603FR-0710KL</t>
  </si>
  <si>
    <t>RT0603BRD0762KL</t>
  </si>
  <si>
    <t>RT0603BRD073K16L</t>
  </si>
  <si>
    <t>RC0603FR-071K2L</t>
  </si>
  <si>
    <t>RC0603FR-07180RL</t>
  </si>
  <si>
    <t>RC0603DR-0716KL</t>
  </si>
  <si>
    <t>RC0603FR-0710RL</t>
  </si>
  <si>
    <t>RC0603FR-0722RL</t>
  </si>
  <si>
    <t>RC0603JR-074K7L</t>
  </si>
  <si>
    <t>RC0603JR-0747KL</t>
  </si>
  <si>
    <t>RC0603FR-071ML</t>
  </si>
  <si>
    <t>RC0603FR-07470RL</t>
  </si>
  <si>
    <t>RC0603FR-0722K1L</t>
  </si>
  <si>
    <t>RC0603FR-0747K5L</t>
  </si>
  <si>
    <t>RC0402FR-0722RL</t>
  </si>
  <si>
    <t>RC0402FR-07100KL</t>
  </si>
  <si>
    <t>TL3301NF160QG/TR</t>
  </si>
  <si>
    <t>AZ1117CH-3.3TRG1</t>
  </si>
  <si>
    <t>LM2596S-ADJ/NOPB</t>
  </si>
  <si>
    <t>MT3608</t>
  </si>
  <si>
    <t>MAX31856MUD+T</t>
  </si>
  <si>
    <t>TXB0102DCUT</t>
  </si>
  <si>
    <t>TXB0104PWR</t>
  </si>
  <si>
    <t>ATMEGA2560-16AU</t>
  </si>
  <si>
    <t>CP2102N-A02-GQFN24R</t>
  </si>
  <si>
    <t>X322516MLB4SI</t>
  </si>
  <si>
    <t>Manufacturer</t>
  </si>
  <si>
    <t>Yageo</t>
  </si>
  <si>
    <t>TDK</t>
  </si>
  <si>
    <t>Panasonic</t>
  </si>
  <si>
    <t>Murata</t>
  </si>
  <si>
    <t>Nexperia</t>
  </si>
  <si>
    <t>WILLSEMI</t>
  </si>
  <si>
    <t>MDD</t>
  </si>
  <si>
    <t>ON Semiconductor / Fairchild</t>
  </si>
  <si>
    <t>Diodes</t>
  </si>
  <si>
    <t>STMicroelectronics</t>
  </si>
  <si>
    <t>WILLSEMI(Will Semicon)</t>
  </si>
  <si>
    <t>Leiditech</t>
  </si>
  <si>
    <t>Littelfuse</t>
  </si>
  <si>
    <t>TECHFUSE</t>
  </si>
  <si>
    <t>Amphenol FCI</t>
  </si>
  <si>
    <t>Hirose</t>
  </si>
  <si>
    <t>XKB Connectivity</t>
  </si>
  <si>
    <t>XFCN</t>
  </si>
  <si>
    <t>SXN(Shun Xiang Nuo Elec)</t>
  </si>
  <si>
    <t>Chilisin Elec</t>
  </si>
  <si>
    <t>Everlight Elec</t>
  </si>
  <si>
    <t>Smart Prototyping</t>
  </si>
  <si>
    <t>TECH PUBLIC</t>
  </si>
  <si>
    <t>E-Switch</t>
  </si>
  <si>
    <t>Diodes Incorporated</t>
  </si>
  <si>
    <t>TI National Semiconductor</t>
  </si>
  <si>
    <t>XI'AN Aerosemi Tech</t>
  </si>
  <si>
    <t>Maxim</t>
  </si>
  <si>
    <t>Texas Instruments</t>
  </si>
  <si>
    <t>Simcom</t>
  </si>
  <si>
    <t>Microchip</t>
  </si>
  <si>
    <t>Silicon Labs</t>
  </si>
  <si>
    <t>Yangxing Tech</t>
  </si>
  <si>
    <t>LCSC Part Number</t>
  </si>
  <si>
    <t>C2936601</t>
  </si>
  <si>
    <t>C110022</t>
  </si>
  <si>
    <t>C186713</t>
  </si>
  <si>
    <t>C236293</t>
  </si>
  <si>
    <t>C519406</t>
  </si>
  <si>
    <t>C14664</t>
  </si>
  <si>
    <t>C105621</t>
  </si>
  <si>
    <t>C277476</t>
  </si>
  <si>
    <t>C477989</t>
  </si>
  <si>
    <t>C239643</t>
  </si>
  <si>
    <t>C8678</t>
  </si>
  <si>
    <t>C60580</t>
  </si>
  <si>
    <t>C48677</t>
  </si>
  <si>
    <t>C239784</t>
  </si>
  <si>
    <t>C5210978</t>
  </si>
  <si>
    <t>C239604</t>
  </si>
  <si>
    <t>C207041</t>
  </si>
  <si>
    <t>C85841</t>
  </si>
  <si>
    <t>C307765</t>
  </si>
  <si>
    <t>C132563</t>
  </si>
  <si>
    <t>C88374</t>
  </si>
  <si>
    <t>C381071</t>
  </si>
  <si>
    <t>C492442</t>
  </si>
  <si>
    <t>C597972</t>
  </si>
  <si>
    <t>C27442</t>
  </si>
  <si>
    <t>C108312</t>
  </si>
  <si>
    <t>C701182</t>
  </si>
  <si>
    <t>C1322287</t>
  </si>
  <si>
    <t>C93689</t>
  </si>
  <si>
    <t>C2923360</t>
  </si>
  <si>
    <t>C861293</t>
  </si>
  <si>
    <t>C110776</t>
  </si>
  <si>
    <t>C98220</t>
  </si>
  <si>
    <t>C136961</t>
  </si>
  <si>
    <t>C861373</t>
  </si>
  <si>
    <t>C114605</t>
  </si>
  <si>
    <t>C137786</t>
  </si>
  <si>
    <t>C327136</t>
  </si>
  <si>
    <t>C109318</t>
  </si>
  <si>
    <t>C107701</t>
  </si>
  <si>
    <t>C105428</t>
  </si>
  <si>
    <t>C127447</t>
  </si>
  <si>
    <t>C105578</t>
  </si>
  <si>
    <t>C114669</t>
  </si>
  <si>
    <t>C137768</t>
  </si>
  <si>
    <t>C137715</t>
  </si>
  <si>
    <t>C273526</t>
  </si>
  <si>
    <t>C92102</t>
  </si>
  <si>
    <t>C1355333</t>
  </si>
  <si>
    <t>C84817</t>
  </si>
  <si>
    <t>C2653162</t>
  </si>
  <si>
    <t>C2677366</t>
  </si>
  <si>
    <t>C60708</t>
  </si>
  <si>
    <t>C126271</t>
  </si>
  <si>
    <t>C22460</t>
  </si>
  <si>
    <t>C969151</t>
  </si>
  <si>
    <t>C13738</t>
  </si>
  <si>
    <t>10uF</t>
  </si>
  <si>
    <t>100nF</t>
  </si>
  <si>
    <t>22uF</t>
  </si>
  <si>
    <t>120uF</t>
  </si>
  <si>
    <t>330uF</t>
  </si>
  <si>
    <t>10nF</t>
  </si>
  <si>
    <t>1uF</t>
  </si>
  <si>
    <t>33pF</t>
  </si>
  <si>
    <t>20pF</t>
  </si>
  <si>
    <t>4.7uF</t>
  </si>
  <si>
    <t>100MHz</t>
  </si>
  <si>
    <t>22uH</t>
  </si>
  <si>
    <t>27nH</t>
  </si>
  <si>
    <t>RED</t>
  </si>
  <si>
    <t>TEST POINT</t>
  </si>
  <si>
    <t>2.1K</t>
  </si>
  <si>
    <t>10K</t>
  </si>
  <si>
    <t>62K</t>
  </si>
  <si>
    <t>3.16K</t>
  </si>
  <si>
    <t>1.2K</t>
  </si>
  <si>
    <t>180R</t>
  </si>
  <si>
    <t>16K</t>
  </si>
  <si>
    <t>10R</t>
  </si>
  <si>
    <t>22R</t>
  </si>
  <si>
    <t>4.7K</t>
  </si>
  <si>
    <t>47K</t>
  </si>
  <si>
    <t>1M</t>
  </si>
  <si>
    <t>470R</t>
  </si>
  <si>
    <t>22.1K</t>
  </si>
  <si>
    <t>47.5K</t>
  </si>
  <si>
    <t>100K</t>
  </si>
  <si>
    <t>Quantity</t>
  </si>
  <si>
    <t>-</t>
  </si>
  <si>
    <t>C60491</t>
  </si>
  <si>
    <t>1K</t>
  </si>
  <si>
    <t>Alternate Part Number</t>
  </si>
  <si>
    <t>Value</t>
  </si>
  <si>
    <t>Links</t>
  </si>
  <si>
    <t>Remarks</t>
  </si>
  <si>
    <t>Reviewer Remarks</t>
  </si>
  <si>
    <t>Quantity (5 Boards)</t>
  </si>
  <si>
    <t>MOQ (5 Boards)</t>
  </si>
  <si>
    <t>Unit Cost (5 Boards)</t>
  </si>
  <si>
    <t>Total Cost (5 Boards)</t>
  </si>
  <si>
    <t>Custom</t>
  </si>
  <si>
    <t>LCSC</t>
  </si>
  <si>
    <t>UMK107B104KAHT</t>
  </si>
  <si>
    <t>UFL Connector</t>
  </si>
  <si>
    <t xml:space="preserve">Solder Bridge </t>
  </si>
  <si>
    <t>Switch</t>
  </si>
  <si>
    <t>C69679</t>
  </si>
  <si>
    <t xml:space="preserve"> -</t>
  </si>
  <si>
    <t>C114765</t>
  </si>
  <si>
    <t>20V 500mV@3A 3A SMA(DO-214AC) Schottky Barrier Diodes (SBD) ROHS</t>
  </si>
  <si>
    <t>SMA(DO-214AC)</t>
  </si>
  <si>
    <t>C34897</t>
  </si>
  <si>
    <t>LED1, LED2, LED3</t>
  </si>
  <si>
    <t>LED4, LED6, LED8, LED9</t>
  </si>
  <si>
    <t>Bill of Materials for Project [Mega2560_Custom]</t>
  </si>
  <si>
    <t>Mega2560_Custom</t>
  </si>
  <si>
    <t>25V 22uF X5R ±20% 0805</t>
  </si>
  <si>
    <t>Cap-0805</t>
  </si>
  <si>
    <t>CS2012X5R226M250NRE</t>
  </si>
  <si>
    <t>Samwha Capacitor</t>
  </si>
  <si>
    <t>C513764</t>
  </si>
  <si>
    <t>C50, C52</t>
  </si>
  <si>
    <t>J3</t>
  </si>
  <si>
    <t>CONN RCPT USB2.0 MICRO B SMD</t>
  </si>
  <si>
    <t>105133-0011</t>
  </si>
  <si>
    <t>Molex</t>
  </si>
  <si>
    <t>C586226</t>
  </si>
  <si>
    <t>J1, J2</t>
  </si>
  <si>
    <t>TERM BLK 2POS TOP ENT 5.08MM PCB</t>
  </si>
  <si>
    <t>HA0200500000G</t>
  </si>
  <si>
    <t>Amphenol</t>
  </si>
  <si>
    <t>C967080</t>
  </si>
  <si>
    <t>C526997</t>
  </si>
  <si>
    <t>CC0402JRNPO8BN330</t>
  </si>
  <si>
    <t xml:space="preserve">Less Stock On LCSC </t>
  </si>
  <si>
    <t>C53</t>
  </si>
  <si>
    <t>CAP ALUM POLY 47UF 20% 25V SMD</t>
  </si>
  <si>
    <t>25SVPF47M</t>
  </si>
  <si>
    <t>C136280</t>
  </si>
  <si>
    <t>47uF</t>
  </si>
  <si>
    <t>Peripheral</t>
  </si>
  <si>
    <t>BW4GJWX195-13KJ</t>
  </si>
  <si>
    <t>C497022</t>
  </si>
  <si>
    <t>BAT WIRELESS</t>
  </si>
  <si>
    <t>Antennas ROHS</t>
  </si>
  <si>
    <t>---</t>
  </si>
  <si>
    <t>BWGNSCNX25-25B1Y2L120</t>
  </si>
  <si>
    <t>C784385</t>
  </si>
  <si>
    <t>IPEX-25x25x4.6mm Antennas ROHS</t>
  </si>
  <si>
    <t>BWIPX1-SMA-1.13L200</t>
  </si>
  <si>
    <t>65℃~+165℃ 200mm IPEX to SMA 1Gen - Radio Frequency Cable ROHS</t>
  </si>
  <si>
    <t>C784405</t>
  </si>
  <si>
    <t>DNP</t>
  </si>
  <si>
    <t>U8</t>
  </si>
  <si>
    <t>U9</t>
  </si>
  <si>
    <t>IC TRANSLTR BIDIRECTIONAL 8VSSOP</t>
  </si>
  <si>
    <t>8-VSSOP</t>
  </si>
  <si>
    <t>TXS0102DCUR</t>
  </si>
  <si>
    <t>C53434</t>
  </si>
  <si>
    <t>C2, C7, C9, C10, C12, C13, C19, C20, C21, C22, C29, C30, C31, C32, C33, C34, C35, C37, C40, C41, C44, C45, C46, C47, C48, C49, C51, C54, C56, C57</t>
  </si>
  <si>
    <t>C4, C6, C36</t>
  </si>
  <si>
    <t>C38, C55</t>
  </si>
  <si>
    <t>C58, C59</t>
  </si>
  <si>
    <t>CAP CER 2.2UF 50V X5R 0805</t>
  </si>
  <si>
    <t>CC0805KKX5R9BB225</t>
  </si>
  <si>
    <t>C326581</t>
  </si>
  <si>
    <t>2.2uF</t>
  </si>
  <si>
    <t>LED10</t>
  </si>
  <si>
    <t>R3, R8, R9, R12, R13, R14, R15, R18, R19, R24, R38, R39, R40, R49</t>
  </si>
  <si>
    <t>R50</t>
  </si>
  <si>
    <t>±0.1% 250Ω 1206 Chip Resistor - Surface Mount ROHS</t>
  </si>
  <si>
    <t>Res-1206</t>
  </si>
  <si>
    <t>ARG06BTC2500</t>
  </si>
  <si>
    <t>Viking Tech</t>
  </si>
  <si>
    <t>C3033906</t>
  </si>
  <si>
    <t>250R</t>
  </si>
  <si>
    <t>R51, R52</t>
  </si>
  <si>
    <t>RES SMD 680 OHM 1% 1/10W 0603</t>
  </si>
  <si>
    <t>RC0603FR-07680RL</t>
  </si>
  <si>
    <t>C112310</t>
  </si>
  <si>
    <t>680R</t>
  </si>
  <si>
    <t>U14, U15</t>
  </si>
  <si>
    <t>10pA 1 1MHz SOT-23-5 Operational Amplifier ROHS</t>
  </si>
  <si>
    <t>SOT-23-5</t>
  </si>
  <si>
    <t>LMV321AIDBVR</t>
  </si>
  <si>
    <t>C484730</t>
  </si>
  <si>
    <t>Quantity (40 Boards)</t>
  </si>
  <si>
    <t>MOQ (40 Boards)</t>
  </si>
  <si>
    <t>Unit Cost (40 Boards)</t>
  </si>
  <si>
    <t>Total Cost (40 Boards)</t>
  </si>
  <si>
    <t>Non Stock On LCSC</t>
  </si>
  <si>
    <t>SB1, SB2 ,SB8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</si>
</sst>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3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u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8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0" xfId="0" applyNumberFormat="1" applyFont="1" applyFill="1" applyBorder="1" applyAlignment="1">
      <alignment horizontal="center" vertical="center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7" fillId="4" borderId="12" xfId="0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21" fillId="2" borderId="16" xfId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165" fontId="19" fillId="2" borderId="16" xfId="0" applyNumberFormat="1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21" fillId="2" borderId="17" xfId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26" fillId="2" borderId="16" xfId="1" applyFont="1" applyFill="1" applyBorder="1" applyAlignment="1">
      <alignment horizontal="center" vertical="center" wrapText="1"/>
    </xf>
    <xf numFmtId="165" fontId="22" fillId="2" borderId="16" xfId="0" applyNumberFormat="1" applyFont="1" applyFill="1" applyBorder="1" applyAlignment="1">
      <alignment horizontal="center" vertical="center" wrapText="1"/>
    </xf>
    <xf numFmtId="0" fontId="28" fillId="2" borderId="17" xfId="0" quotePrefix="1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/>
    </xf>
    <xf numFmtId="0" fontId="18" fillId="2" borderId="2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19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1" fillId="2" borderId="0" xfId="0" applyFont="1" applyFill="1" applyAlignment="1">
      <alignment wrapText="1"/>
    </xf>
    <xf numFmtId="0" fontId="19" fillId="2" borderId="16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9" fillId="2" borderId="1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926425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Power-Inductors_SXN-Shun-Xiang-Nuo-Elec-SMRH74-220MT_C27442.html" TargetMode="External"/><Relationship Id="rId21" Type="http://schemas.openxmlformats.org/officeDocument/2006/relationships/hyperlink" Target="https://www.lcsc.com/product-detail/USB-Connectors_Amphenol-ICC-10118194-0001LF_C132563.html" TargetMode="External"/><Relationship Id="rId42" Type="http://schemas.openxmlformats.org/officeDocument/2006/relationships/hyperlink" Target="https://www.lcsc.com/product-detail/Chip-Resistor-Surface-Mount_YAGEO-RC0603JR-074K7L_C105428.html" TargetMode="External"/><Relationship Id="rId47" Type="http://schemas.openxmlformats.org/officeDocument/2006/relationships/hyperlink" Target="https://www.lcsc.com/product-detail/Chip-Resistor-Surface-Mount_YAGEO-RC0603FR-0747K5L_C137715.html" TargetMode="External"/><Relationship Id="rId63" Type="http://schemas.openxmlformats.org/officeDocument/2006/relationships/hyperlink" Target="https://www.lcsc.com/product-detail/Multilayer-Ceramic-Capacitors-MLCC-SMD-SMT_YAGEO-CC0402JRNPO8BN330_C526997.html" TargetMode="External"/><Relationship Id="rId68" Type="http://schemas.openxmlformats.org/officeDocument/2006/relationships/hyperlink" Target="https://www.lcsc.com/product-detail/Antennas_BAT-WIRELESS-BW4GJWX195-13KJ_C497022.html" TargetMode="External"/><Relationship Id="rId16" Type="http://schemas.openxmlformats.org/officeDocument/2006/relationships/hyperlink" Target="https://www.lcsc.com/product-detail/ESD-Protection-Devices_WILLSEMI-Will-Semicon-ESD5451N-2-TR_C239604.html" TargetMode="External"/><Relationship Id="rId11" Type="http://schemas.openxmlformats.org/officeDocument/2006/relationships/hyperlink" Target="https://www.lcsc.com/product-detail/Schottky-Barrier-Diodes-SBD_MDD-Microdiode-Electronics-SS34_C8678.html" TargetMode="External"/><Relationship Id="rId24" Type="http://schemas.openxmlformats.org/officeDocument/2006/relationships/hyperlink" Target="https://www.lcsc.com/product-detail/IDC-Connectors_XFCN-BH254V-10P_C492442.html" TargetMode="External"/><Relationship Id="rId32" Type="http://schemas.openxmlformats.org/officeDocument/2006/relationships/hyperlink" Target="https://www.lcsc.com/product-detail/Chip-Resistor-Surface-Mount_YAGEO-RT0603BRD072K1L_C861293.html" TargetMode="External"/><Relationship Id="rId37" Type="http://schemas.openxmlformats.org/officeDocument/2006/relationships/hyperlink" Target="https://www.lcsc.com/product-detail/Chip-Resistor-Surface-Mount_YAGEO-RC0603FR-071K2L_C114605.html" TargetMode="External"/><Relationship Id="rId40" Type="http://schemas.openxmlformats.org/officeDocument/2006/relationships/hyperlink" Target="https://www.lcsc.com/product-detail/Chip-Resistor-Surface-Mount_YAGEO-RC0603FR-0710RL_C109318.html" TargetMode="External"/><Relationship Id="rId45" Type="http://schemas.openxmlformats.org/officeDocument/2006/relationships/hyperlink" Target="https://www.lcsc.com/product-detail/Chip-Resistor-Surface-Mount_YAGEO-RC0603FR-07470RL_C114669.html" TargetMode="External"/><Relationship Id="rId53" Type="http://schemas.openxmlformats.org/officeDocument/2006/relationships/hyperlink" Target="https://www.lcsc.com/product-detail/DC-DC-Converters_XI-AN-Aerosemi-Tech-MT3608_C84817.html" TargetMode="External"/><Relationship Id="rId58" Type="http://schemas.openxmlformats.org/officeDocument/2006/relationships/hyperlink" Target="https://www.lcsc.com/product-detail/Microcontroller-Units-MCUs-MPUs-SOCs_Microchip-Tech-ATMEGA2560-16AU_C22460.html" TargetMode="External"/><Relationship Id="rId66" Type="http://schemas.openxmlformats.org/officeDocument/2006/relationships/hyperlink" Target="https://www.lcsc.com/product-detail/Solid-Capacitors_PANASONIC-25SVPF47M_C136280.html" TargetMode="External"/><Relationship Id="rId74" Type="http://schemas.openxmlformats.org/officeDocument/2006/relationships/hyperlink" Target="https://www.lcsc.com/product-detail/Chip-Resistor-Surface-Mount_Viking-Tech-ARG06BTC2500_C3033906.html" TargetMode="External"/><Relationship Id="rId79" Type="http://schemas.openxmlformats.org/officeDocument/2006/relationships/drawing" Target="../drawings/drawing1.xml"/><Relationship Id="rId5" Type="http://schemas.openxmlformats.org/officeDocument/2006/relationships/hyperlink" Target="https://www.lcsc.com/product-detail/Multilayer-Ceramic-Capacitors-MLCC-SMD-SMT_YAGEO-CC0603KRX7R7BB103_C519406.html" TargetMode="External"/><Relationship Id="rId61" Type="http://schemas.openxmlformats.org/officeDocument/2006/relationships/hyperlink" Target="https://www.lcsc.com/product-detail/Schottky-Barrier-Diodes-SBD_MDD-Microdiode-Electronics-SS32_C34897.html" TargetMode="External"/><Relationship Id="rId19" Type="http://schemas.openxmlformats.org/officeDocument/2006/relationships/hyperlink" Target="https://www.lcsc.com/product-detail/Ferrite-Beads_Murata-Electronics-BLM31PG121SN1L_C85841.html" TargetMode="External"/><Relationship Id="rId14" Type="http://schemas.openxmlformats.org/officeDocument/2006/relationships/hyperlink" Target="https://www.lcsc.com/product-detail/TVS_WILLSEMI-Will-Semicon-ESD5651N-2-TR_C239784.html" TargetMode="External"/><Relationship Id="rId22" Type="http://schemas.openxmlformats.org/officeDocument/2006/relationships/hyperlink" Target="https://www.lcsc.com/product-detail/RF-Connectors-Coaxial-Connectors_HRS-Hirose-U-FL-R-SMT-1-80_C88374.html" TargetMode="External"/><Relationship Id="rId27" Type="http://schemas.openxmlformats.org/officeDocument/2006/relationships/hyperlink" Target="https://www.lcsc.com/product-detail/Power-Inductors_Chilisin-Elec-SSL0804T-220M-N_C108312.html" TargetMode="External"/><Relationship Id="rId30" Type="http://schemas.openxmlformats.org/officeDocument/2006/relationships/hyperlink" Target="https://www.lcsc.com/product-detail/Light-Emitting-Diodes-LED_Everlight-Elec-19-21-G6C-FM1N2B-3T_C93689.html" TargetMode="External"/><Relationship Id="rId35" Type="http://schemas.openxmlformats.org/officeDocument/2006/relationships/hyperlink" Target="https://www.lcsc.com/product-detail/Chip-Resistor-Surface-Mount_YAGEO-RT0603BRD0762KL_C136961.html" TargetMode="External"/><Relationship Id="rId43" Type="http://schemas.openxmlformats.org/officeDocument/2006/relationships/hyperlink" Target="https://www.lcsc.com/product-detail/Chip-Resistor-Surface-Mount_YAGEO-RC0603JR-0747KL_C127447.html" TargetMode="External"/><Relationship Id="rId48" Type="http://schemas.openxmlformats.org/officeDocument/2006/relationships/hyperlink" Target="https://www.lcsc.com/product-detail/Chip-Resistor-Surface-Mount_YAGEO-RC0402FR-0722RL_C114765.html" TargetMode="External"/><Relationship Id="rId56" Type="http://schemas.openxmlformats.org/officeDocument/2006/relationships/hyperlink" Target="https://www.lcsc.com/product-detail/Translators-Level-Shifters_Texas-Instruments-TXB0104PWR_C60708.html" TargetMode="External"/><Relationship Id="rId64" Type="http://schemas.openxmlformats.org/officeDocument/2006/relationships/hyperlink" Target="https://www.lcsc.com/product-detail/USB-Connectors_MOLEX-1051330011_C586226.html" TargetMode="External"/><Relationship Id="rId69" Type="http://schemas.openxmlformats.org/officeDocument/2006/relationships/hyperlink" Target="https://www.lcsc.com/product-detail/Antennas_BAT-WIRELESS-BWGNSCNX25-25B1Y2L120_C784385.html" TargetMode="External"/><Relationship Id="rId77" Type="http://schemas.openxmlformats.org/officeDocument/2006/relationships/hyperlink" Target="https://www.lcsc.com/product-detail/Multilayer-Ceramic-Capacitors-MLCC-SMD-SMT_YAGEO-CC0805KKX5R9BB225_C326581.html" TargetMode="External"/><Relationship Id="rId8" Type="http://schemas.openxmlformats.org/officeDocument/2006/relationships/hyperlink" Target="https://www.lcsc.com/product-detail/Multilayer-Ceramic-Capacitors-MLCC-SMD-SMT_YAGEO-CC0603KRX5R7BB475_C277476.html" TargetMode="External"/><Relationship Id="rId51" Type="http://schemas.openxmlformats.org/officeDocument/2006/relationships/hyperlink" Target="https://www.lcsc.com/product-detail/Linear-Voltage-Regulators-LDO_Diodes-Incorporated-AZ1117CH-3-3TRG1_C92102.html" TargetMode="External"/><Relationship Id="rId72" Type="http://schemas.openxmlformats.org/officeDocument/2006/relationships/hyperlink" Target="https://www.lcsc.com/product-detail/Translators-Level-Shifters_Texas-Instruments-TXS0102DCUR_C53434.html" TargetMode="External"/><Relationship Id="rId3" Type="http://schemas.openxmlformats.org/officeDocument/2006/relationships/hyperlink" Target="https://www.lcsc.com/product-detail/Solid-Capacitors_PANASONIC-20SVPF120M_C186713.html" TargetMode="External"/><Relationship Id="rId12" Type="http://schemas.openxmlformats.org/officeDocument/2006/relationships/hyperlink" Target="https://www.lcsc.com/product-detail/Switching-Diode_Diodes-Incorporated-1N4148WS-7-F_C60580.html" TargetMode="External"/><Relationship Id="rId17" Type="http://schemas.openxmlformats.org/officeDocument/2006/relationships/hyperlink" Target="https://www.lcsc.com/product-detail/Resettable-Fuses_Littelfuse-1206L300SLTHYR_C207041.html" TargetMode="External"/><Relationship Id="rId25" Type="http://schemas.openxmlformats.org/officeDocument/2006/relationships/hyperlink" Target="https://www.lcsc.com/product-detail/SD-Card-Connectors_HRS-Hirose-DM3BT-DSF-PEJS_C597972.html" TargetMode="External"/><Relationship Id="rId33" Type="http://schemas.openxmlformats.org/officeDocument/2006/relationships/hyperlink" Target="https://www.lcsc.com/product-detail/Chip-Resistor-Surface-Mount_YAGEO-RT0603BRD071KL_C110776.html" TargetMode="External"/><Relationship Id="rId38" Type="http://schemas.openxmlformats.org/officeDocument/2006/relationships/hyperlink" Target="https://www.lcsc.com/product-detail/Chip-Resistor-Surface-Mount_YAGEO-RC0603FR-07180RL_C137786.html" TargetMode="External"/><Relationship Id="rId46" Type="http://schemas.openxmlformats.org/officeDocument/2006/relationships/hyperlink" Target="https://www.lcsc.com/product-detail/Chip-Resistor-Surface-Mount_YAGEO-RC0603FR-0722K1L_C137768.html" TargetMode="External"/><Relationship Id="rId59" Type="http://schemas.openxmlformats.org/officeDocument/2006/relationships/hyperlink" Target="https://www.lcsc.com/product-detail/USB-ICs_SILICON-LABS-CP2102N-A02-GQFN24R_C969151.html" TargetMode="External"/><Relationship Id="rId67" Type="http://schemas.openxmlformats.org/officeDocument/2006/relationships/hyperlink" Target="https://www.smart-prototyping.com/Zio-Qwiic-OLED-Display-1_5inch-128x128" TargetMode="External"/><Relationship Id="rId20" Type="http://schemas.openxmlformats.org/officeDocument/2006/relationships/hyperlink" Target="https://www.lcsc.com/product-detail/Ferrite-Beads_TDK-MMZ2012R102ATD25_C307765.html" TargetMode="External"/><Relationship Id="rId41" Type="http://schemas.openxmlformats.org/officeDocument/2006/relationships/hyperlink" Target="https://www.lcsc.com/product-detail/Chip-Resistor-Surface-Mount_YAGEO-RC0603FR-0722RL_C107701.html" TargetMode="External"/><Relationship Id="rId54" Type="http://schemas.openxmlformats.org/officeDocument/2006/relationships/hyperlink" Target="https://www.lcsc.com/product-detail/ADC-DAC-Specialized_Maxim-Integrated-MAX31856MUD-T_C2653162.html" TargetMode="External"/><Relationship Id="rId62" Type="http://schemas.openxmlformats.org/officeDocument/2006/relationships/hyperlink" Target="https://www.lcsc.com/product-detail/Multilayer-Ceramic-Capacitors-MLCC-SMD-SMT_Samwha-span-style-background-color-ff0-Capacitor-span-CS2012X5R226M250NRE_C513764.html" TargetMode="External"/><Relationship Id="rId70" Type="http://schemas.openxmlformats.org/officeDocument/2006/relationships/hyperlink" Target="https://www.lcsc.com/product-detail/Radio-Frequency-Cable_BAT-WIRELESS-BWIPX1-SMA-1-13L200_C784405.html" TargetMode="External"/><Relationship Id="rId75" Type="http://schemas.openxmlformats.org/officeDocument/2006/relationships/hyperlink" Target="https://www.lcsc.com/product-detail/Chip-Resistor-Surface-Mount_YAGEO-RC0603FR-07680RL_C112310.html" TargetMode="External"/><Relationship Id="rId1" Type="http://schemas.openxmlformats.org/officeDocument/2006/relationships/hyperlink" Target="https://www.lcsc.com/product-detail/Multilayer-Ceramic-Capacitors-MLCC-SMD-SMT_YAGEO-CC0603KRX5R7BB106_C2936601.html" TargetMode="External"/><Relationship Id="rId6" Type="http://schemas.openxmlformats.org/officeDocument/2006/relationships/hyperlink" Target="https://www.lcsc.com/product-detail/Multilayer-Ceramic-Capacitors-MLCC-SMD-SMT_YAGEO-CC0603KRX5R8BB105_C14664.html" TargetMode="External"/><Relationship Id="rId15" Type="http://schemas.openxmlformats.org/officeDocument/2006/relationships/hyperlink" Target="https://www.lcsc.com/product-detail/TVS_Leiditech-LXES15AAA1-153_C5210978.html" TargetMode="External"/><Relationship Id="rId23" Type="http://schemas.openxmlformats.org/officeDocument/2006/relationships/hyperlink" Target="https://www.lcsc.com/product-detail/SIM-Card-Connectors_XKB-Connectivity-XKNANO-113_C381071.html" TargetMode="External"/><Relationship Id="rId28" Type="http://schemas.openxmlformats.org/officeDocument/2006/relationships/hyperlink" Target="https://www.lcsc.com/product-detail/Inductors-SMD_Murata-Electronics-LQW18AN27NG10D_C701182.html" TargetMode="External"/><Relationship Id="rId36" Type="http://schemas.openxmlformats.org/officeDocument/2006/relationships/hyperlink" Target="https://www.lcsc.com/product-detail/Chip-Resistor-Surface-Mount_YAGEO-RT0603BRD073K16L_C861373.html" TargetMode="External"/><Relationship Id="rId49" Type="http://schemas.openxmlformats.org/officeDocument/2006/relationships/hyperlink" Target="https://www.lcsc.com/product-detail/Chip-Resistor-Surface-Mount_YAGEO-RC0402FR-07100KL_C60491.html" TargetMode="External"/><Relationship Id="rId57" Type="http://schemas.openxmlformats.org/officeDocument/2006/relationships/hyperlink" Target="https://www.lcsc.com/product-detail/2G-3G-4G-5G-Modules_SIMCom-Wireless-Solutions-SIM7000A_C126271.html" TargetMode="External"/><Relationship Id="rId10" Type="http://schemas.openxmlformats.org/officeDocument/2006/relationships/hyperlink" Target="https://www.lcsc.com/product-detail/TVS_WILLSEMI-Will-Semicon-ESD5302F-3-TR_C239643.html" TargetMode="External"/><Relationship Id="rId31" Type="http://schemas.openxmlformats.org/officeDocument/2006/relationships/hyperlink" Target="https://www.lcsc.com/product-detail/Bipolar-Transistors-BJT_TECH-PUBLIC-MMBT3904M_C2923360.html" TargetMode="External"/><Relationship Id="rId44" Type="http://schemas.openxmlformats.org/officeDocument/2006/relationships/hyperlink" Target="https://www.lcsc.com/product-detail/Chip-Resistor-Surface-Mount_YAGEO-RC0603FR-071ML_C105578.html" TargetMode="External"/><Relationship Id="rId52" Type="http://schemas.openxmlformats.org/officeDocument/2006/relationships/hyperlink" Target="https://www.lcsc.com/product-detail/DC-DC-Converters_Texas-Instruments-LM2596S-ADJ-NOPB_C1355333.html" TargetMode="External"/><Relationship Id="rId60" Type="http://schemas.openxmlformats.org/officeDocument/2006/relationships/hyperlink" Target="https://www.lcsc.com/product-detail/Crystals_Yangxing-Tech-X322516MLB4SI_C13738.html" TargetMode="External"/><Relationship Id="rId65" Type="http://schemas.openxmlformats.org/officeDocument/2006/relationships/hyperlink" Target="https://www.lcsc.com/product-detail/Spring-Clamp-System-Terminal-Block_Amphenol-ICC-HA0200500000G_C967080.html" TargetMode="External"/><Relationship Id="rId73" Type="http://schemas.openxmlformats.org/officeDocument/2006/relationships/hyperlink" Target="https://www.smart-prototyping.com/Zio-Qwiic-OLED-Display-1_5inch-128x128" TargetMode="External"/><Relationship Id="rId78" Type="http://schemas.openxmlformats.org/officeDocument/2006/relationships/printerSettings" Target="../printerSettings/printerSettings1.bin"/><Relationship Id="rId4" Type="http://schemas.openxmlformats.org/officeDocument/2006/relationships/hyperlink" Target="https://www.lcsc.com/product-detail/Tantalum-Capacitors_PANASONIC-6TPB330ML_C236293.html" TargetMode="External"/><Relationship Id="rId9" Type="http://schemas.openxmlformats.org/officeDocument/2006/relationships/hyperlink" Target="https://www.lcsc.com/product-detail/ESD-Protection-Devices_Nexperia-PESD5V0H1BSF_C477989.html" TargetMode="External"/><Relationship Id="rId13" Type="http://schemas.openxmlformats.org/officeDocument/2006/relationships/hyperlink" Target="https://www.lcsc.com/product-detail/ESD-Protection-Devices_STMicroelectronics-ESDA6V1W5_C48677.html" TargetMode="External"/><Relationship Id="rId18" Type="http://schemas.openxmlformats.org/officeDocument/2006/relationships/hyperlink" Target="https://www.lcsc.com/product-detail/Resettable-Fuses_TECHFUSE-SMD0603-050_C69679.html" TargetMode="External"/><Relationship Id="rId39" Type="http://schemas.openxmlformats.org/officeDocument/2006/relationships/hyperlink" Target="https://www.lcsc.com/product-detail/Chip-Resistor-Surface-Mount_YAGEO-RC0603DR-0716KL_C327136.html" TargetMode="External"/><Relationship Id="rId34" Type="http://schemas.openxmlformats.org/officeDocument/2006/relationships/hyperlink" Target="https://www.lcsc.com/product-detail/Chip-Resistor-Surface-Mount_YAGEO-RC0603FR-0710KL_C98220.html" TargetMode="External"/><Relationship Id="rId50" Type="http://schemas.openxmlformats.org/officeDocument/2006/relationships/hyperlink" Target="https://www.lcsc.com/product-detail/Tactile-Switches_E-Switch-TL3301NF160QG_C273526.html" TargetMode="External"/><Relationship Id="rId55" Type="http://schemas.openxmlformats.org/officeDocument/2006/relationships/hyperlink" Target="https://www.lcsc.com/product-detail/Translators-Level-Shifters_Texas-Instruments-TXB0102DCUT_C2677366.html" TargetMode="External"/><Relationship Id="rId76" Type="http://schemas.openxmlformats.org/officeDocument/2006/relationships/hyperlink" Target="https://www.lcsc.com/product-detail/Operational-Amplifier_Texas-Instruments-LMV321AIDBVR_C484730.html" TargetMode="External"/><Relationship Id="rId7" Type="http://schemas.openxmlformats.org/officeDocument/2006/relationships/hyperlink" Target="https://www.lcsc.com/product-detail/Multilayer-Ceramic-Capacitors-MLCC-SMD-SMT_YAGEO-CC0603JRNPO9BN200_C105621.html" TargetMode="External"/><Relationship Id="rId71" Type="http://schemas.openxmlformats.org/officeDocument/2006/relationships/hyperlink" Target="https://www.lcsc.com/product-detail/IDC-Connectors_XFCN-BH254V-6P_C492441.html" TargetMode="External"/><Relationship Id="rId2" Type="http://schemas.openxmlformats.org/officeDocument/2006/relationships/hyperlink" Target="https://www.lcsc.com/product-detail/Multilayer-Ceramic-Capacitors-MLCC-SMD-SMT_Taiyo-Yuden-UMK107B104KAHT_C386152.html" TargetMode="External"/><Relationship Id="rId29" Type="http://schemas.openxmlformats.org/officeDocument/2006/relationships/hyperlink" Target="https://www.lcsc.com/product-detail/Light-Emitting-Diodes-LED_Everlight-Elec-19-21-R7C-AK1L2BY-3T_C1322287.html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Power-Inductors_SXN-Shun-Xiang-Nuo-Elec-SMRH74-220MT_C27442.html" TargetMode="External"/><Relationship Id="rId21" Type="http://schemas.openxmlformats.org/officeDocument/2006/relationships/hyperlink" Target="https://www.lcsc.com/product-detail/USB-Connectors_Amphenol-ICC-10118194-0001LF_C132563.html" TargetMode="External"/><Relationship Id="rId42" Type="http://schemas.openxmlformats.org/officeDocument/2006/relationships/hyperlink" Target="https://www.lcsc.com/product-detail/Chip-Resistor-Surface-Mount_YAGEO-RC0603JR-074K7L_C105428.html" TargetMode="External"/><Relationship Id="rId47" Type="http://schemas.openxmlformats.org/officeDocument/2006/relationships/hyperlink" Target="https://www.lcsc.com/product-detail/Chip-Resistor-Surface-Mount_YAGEO-RC0603FR-0747K5L_C137715.html" TargetMode="External"/><Relationship Id="rId63" Type="http://schemas.openxmlformats.org/officeDocument/2006/relationships/hyperlink" Target="https://www.lcsc.com/product-detail/Multilayer-Ceramic-Capacitors-MLCC-SMD-SMT_YAGEO-CC0402JRNPO8BN330_C526997.html" TargetMode="External"/><Relationship Id="rId68" Type="http://schemas.openxmlformats.org/officeDocument/2006/relationships/hyperlink" Target="https://www.lcsc.com/product-detail/Antennas_BAT-WIRELESS-BW4GJWX195-13KJ_C497022.html" TargetMode="External"/><Relationship Id="rId16" Type="http://schemas.openxmlformats.org/officeDocument/2006/relationships/hyperlink" Target="https://www.lcsc.com/product-detail/ESD-Protection-Devices_WILLSEMI-Will-Semicon-ESD5451N-2-TR_C239604.html" TargetMode="External"/><Relationship Id="rId11" Type="http://schemas.openxmlformats.org/officeDocument/2006/relationships/hyperlink" Target="https://www.lcsc.com/product-detail/Schottky-Barrier-Diodes-SBD_MDD-Microdiode-Electronics-SS34_C8678.html" TargetMode="External"/><Relationship Id="rId24" Type="http://schemas.openxmlformats.org/officeDocument/2006/relationships/hyperlink" Target="https://www.lcsc.com/product-detail/IDC-Connectors_XFCN-BH254V-10P_C492442.html" TargetMode="External"/><Relationship Id="rId32" Type="http://schemas.openxmlformats.org/officeDocument/2006/relationships/hyperlink" Target="https://www.lcsc.com/product-detail/Chip-Resistor-Surface-Mount_YAGEO-RT0603BRD072K1L_C861293.html" TargetMode="External"/><Relationship Id="rId37" Type="http://schemas.openxmlformats.org/officeDocument/2006/relationships/hyperlink" Target="https://www.lcsc.com/product-detail/Chip-Resistor-Surface-Mount_YAGEO-RC0603FR-071K2L_C114605.html" TargetMode="External"/><Relationship Id="rId40" Type="http://schemas.openxmlformats.org/officeDocument/2006/relationships/hyperlink" Target="https://www.lcsc.com/product-detail/Chip-Resistor-Surface-Mount_YAGEO-RC0603FR-0710RL_C109318.html" TargetMode="External"/><Relationship Id="rId45" Type="http://schemas.openxmlformats.org/officeDocument/2006/relationships/hyperlink" Target="https://www.lcsc.com/product-detail/Chip-Resistor-Surface-Mount_YAGEO-RC0603FR-07470RL_C114669.html" TargetMode="External"/><Relationship Id="rId53" Type="http://schemas.openxmlformats.org/officeDocument/2006/relationships/hyperlink" Target="https://www.lcsc.com/product-detail/DC-DC-Converters_XI-AN-Aerosemi-Tech-MT3608_C84817.html" TargetMode="External"/><Relationship Id="rId58" Type="http://schemas.openxmlformats.org/officeDocument/2006/relationships/hyperlink" Target="https://www.lcsc.com/product-detail/Microcontroller-Units-MCUs-MPUs-SOCs_Microchip-Tech-ATMEGA2560-16AU_C22460.html" TargetMode="External"/><Relationship Id="rId66" Type="http://schemas.openxmlformats.org/officeDocument/2006/relationships/hyperlink" Target="https://www.lcsc.com/product-detail/Solid-Capacitors_PANASONIC-25SVPF47M_C136280.html" TargetMode="External"/><Relationship Id="rId74" Type="http://schemas.openxmlformats.org/officeDocument/2006/relationships/hyperlink" Target="https://www.lcsc.com/product-detail/Chip-Resistor-Surface-Mount_Viking-Tech-ARG06BTC2500_C3033906.html" TargetMode="External"/><Relationship Id="rId5" Type="http://schemas.openxmlformats.org/officeDocument/2006/relationships/hyperlink" Target="https://www.lcsc.com/product-detail/Multilayer-Ceramic-Capacitors-MLCC-SMD-SMT_YAGEO-CC0603KRX7R7BB103_C519406.html" TargetMode="External"/><Relationship Id="rId61" Type="http://schemas.openxmlformats.org/officeDocument/2006/relationships/hyperlink" Target="https://www.lcsc.com/product-detail/Schottky-Barrier-Diodes-SBD_MDD-Microdiode-Electronics-SS32_C34897.html" TargetMode="External"/><Relationship Id="rId19" Type="http://schemas.openxmlformats.org/officeDocument/2006/relationships/hyperlink" Target="https://www.lcsc.com/product-detail/Ferrite-Beads_Murata-Electronics-BLM31PG121SN1L_C85841.html" TargetMode="External"/><Relationship Id="rId14" Type="http://schemas.openxmlformats.org/officeDocument/2006/relationships/hyperlink" Target="https://www.lcsc.com/product-detail/TVS_WILLSEMI-Will-Semicon-ESD5651N-2-TR_C239784.html" TargetMode="External"/><Relationship Id="rId22" Type="http://schemas.openxmlformats.org/officeDocument/2006/relationships/hyperlink" Target="https://www.lcsc.com/product-detail/RF-Connectors-Coaxial-Connectors_HRS-Hirose-U-FL-R-SMT-1-80_C88374.html" TargetMode="External"/><Relationship Id="rId27" Type="http://schemas.openxmlformats.org/officeDocument/2006/relationships/hyperlink" Target="https://www.lcsc.com/product-detail/Power-Inductors_Chilisin-Elec-SSL0804T-220M-N_C108312.html" TargetMode="External"/><Relationship Id="rId30" Type="http://schemas.openxmlformats.org/officeDocument/2006/relationships/hyperlink" Target="https://www.lcsc.com/product-detail/Light-Emitting-Diodes-LED_Everlight-Elec-19-21-G6C-FM1N2B-3T_C93689.html" TargetMode="External"/><Relationship Id="rId35" Type="http://schemas.openxmlformats.org/officeDocument/2006/relationships/hyperlink" Target="https://www.lcsc.com/product-detail/Chip-Resistor-Surface-Mount_YAGEO-RT0603BRD0762KL_C136961.html" TargetMode="External"/><Relationship Id="rId43" Type="http://schemas.openxmlformats.org/officeDocument/2006/relationships/hyperlink" Target="https://www.lcsc.com/product-detail/Chip-Resistor-Surface-Mount_YAGEO-RC0603JR-0747KL_C127447.html" TargetMode="External"/><Relationship Id="rId48" Type="http://schemas.openxmlformats.org/officeDocument/2006/relationships/hyperlink" Target="https://www.lcsc.com/product-detail/Chip-Resistor-Surface-Mount_YAGEO-RC0402FR-0722RL_C114765.html" TargetMode="External"/><Relationship Id="rId56" Type="http://schemas.openxmlformats.org/officeDocument/2006/relationships/hyperlink" Target="https://www.lcsc.com/product-detail/Translators-Level-Shifters_Texas-Instruments-TXB0104PWR_C60708.html" TargetMode="External"/><Relationship Id="rId64" Type="http://schemas.openxmlformats.org/officeDocument/2006/relationships/hyperlink" Target="https://www.lcsc.com/product-detail/USB-Connectors_MOLEX-1051330011_C586226.html" TargetMode="External"/><Relationship Id="rId69" Type="http://schemas.openxmlformats.org/officeDocument/2006/relationships/hyperlink" Target="https://www.lcsc.com/product-detail/Antennas_BAT-WIRELESS-BWGNSCNX25-25B1Y2L120_C784385.html" TargetMode="External"/><Relationship Id="rId77" Type="http://schemas.openxmlformats.org/officeDocument/2006/relationships/hyperlink" Target="https://www.lcsc.com/product-detail/Multilayer-Ceramic-Capacitors-MLCC-SMD-SMT_YAGEO-CC0805KKX5R9BB225_C326581.html" TargetMode="External"/><Relationship Id="rId8" Type="http://schemas.openxmlformats.org/officeDocument/2006/relationships/hyperlink" Target="https://www.lcsc.com/product-detail/Multilayer-Ceramic-Capacitors-MLCC-SMD-SMT_YAGEO-CC0603KRX5R7BB475_C277476.html" TargetMode="External"/><Relationship Id="rId51" Type="http://schemas.openxmlformats.org/officeDocument/2006/relationships/hyperlink" Target="https://www.lcsc.com/product-detail/Linear-Voltage-Regulators-LDO_Diodes-Incorporated-AZ1117CH-3-3TRG1_C92102.html" TargetMode="External"/><Relationship Id="rId72" Type="http://schemas.openxmlformats.org/officeDocument/2006/relationships/hyperlink" Target="https://www.lcsc.com/product-detail/Translators-Level-Shifters_Texas-Instruments-TXS0102DCUR_C53434.html" TargetMode="External"/><Relationship Id="rId3" Type="http://schemas.openxmlformats.org/officeDocument/2006/relationships/hyperlink" Target="https://www.lcsc.com/product-detail/Solid-Capacitors_PANASONIC-20SVPF120M_C186713.html" TargetMode="External"/><Relationship Id="rId12" Type="http://schemas.openxmlformats.org/officeDocument/2006/relationships/hyperlink" Target="https://www.lcsc.com/product-detail/Switching-Diode_Diodes-Incorporated-1N4148WS-7-F_C60580.html" TargetMode="External"/><Relationship Id="rId17" Type="http://schemas.openxmlformats.org/officeDocument/2006/relationships/hyperlink" Target="https://www.lcsc.com/product-detail/Resettable-Fuses_Littelfuse-1206L300SLTHYR_C207041.html" TargetMode="External"/><Relationship Id="rId25" Type="http://schemas.openxmlformats.org/officeDocument/2006/relationships/hyperlink" Target="https://www.lcsc.com/product-detail/SD-Card-Connectors_HRS-Hirose-DM3BT-DSF-PEJS_C597972.html" TargetMode="External"/><Relationship Id="rId33" Type="http://schemas.openxmlformats.org/officeDocument/2006/relationships/hyperlink" Target="https://www.lcsc.com/product-detail/Chip-Resistor-Surface-Mount_YAGEO-RT0603BRD071KL_C110776.html" TargetMode="External"/><Relationship Id="rId38" Type="http://schemas.openxmlformats.org/officeDocument/2006/relationships/hyperlink" Target="https://www.lcsc.com/product-detail/Chip-Resistor-Surface-Mount_YAGEO-RC0603FR-07180RL_C137786.html" TargetMode="External"/><Relationship Id="rId46" Type="http://schemas.openxmlformats.org/officeDocument/2006/relationships/hyperlink" Target="https://www.lcsc.com/product-detail/Chip-Resistor-Surface-Mount_YAGEO-RC0603FR-0722K1L_C137768.html" TargetMode="External"/><Relationship Id="rId59" Type="http://schemas.openxmlformats.org/officeDocument/2006/relationships/hyperlink" Target="https://www.lcsc.com/product-detail/USB-ICs_SILICON-LABS-CP2102N-A02-GQFN24R_C969151.html" TargetMode="External"/><Relationship Id="rId67" Type="http://schemas.openxmlformats.org/officeDocument/2006/relationships/hyperlink" Target="https://www.smart-prototyping.com/Zio-Qwiic-OLED-Display-1_5inch-128x128" TargetMode="External"/><Relationship Id="rId20" Type="http://schemas.openxmlformats.org/officeDocument/2006/relationships/hyperlink" Target="https://www.lcsc.com/product-detail/Ferrite-Beads_TDK-MMZ2012R102ATD25_C307765.html" TargetMode="External"/><Relationship Id="rId41" Type="http://schemas.openxmlformats.org/officeDocument/2006/relationships/hyperlink" Target="https://www.lcsc.com/product-detail/Chip-Resistor-Surface-Mount_YAGEO-RC0603FR-0722RL_C107701.html" TargetMode="External"/><Relationship Id="rId54" Type="http://schemas.openxmlformats.org/officeDocument/2006/relationships/hyperlink" Target="https://www.lcsc.com/product-detail/ADC-DAC-Specialized_Maxim-Integrated-MAX31856MUD-T_C2653162.html" TargetMode="External"/><Relationship Id="rId62" Type="http://schemas.openxmlformats.org/officeDocument/2006/relationships/hyperlink" Target="https://www.lcsc.com/product-detail/Multilayer-Ceramic-Capacitors-MLCC-SMD-SMT_Samwha-span-style-background-color-ff0-Capacitor-span-CS2012X5R226M250NRE_C513764.html" TargetMode="External"/><Relationship Id="rId70" Type="http://schemas.openxmlformats.org/officeDocument/2006/relationships/hyperlink" Target="https://www.lcsc.com/product-detail/Radio-Frequency-Cable_BAT-WIRELESS-BWIPX1-SMA-1-13L200_C784405.html" TargetMode="External"/><Relationship Id="rId75" Type="http://schemas.openxmlformats.org/officeDocument/2006/relationships/hyperlink" Target="https://www.lcsc.com/product-detail/Chip-Resistor-Surface-Mount_YAGEO-RC0603FR-07680RL_C112310.html" TargetMode="External"/><Relationship Id="rId1" Type="http://schemas.openxmlformats.org/officeDocument/2006/relationships/hyperlink" Target="https://www.lcsc.com/product-detail/Multilayer-Ceramic-Capacitors-MLCC-SMD-SMT_YAGEO-CC0603KRX5R7BB106_C2936601.html" TargetMode="External"/><Relationship Id="rId6" Type="http://schemas.openxmlformats.org/officeDocument/2006/relationships/hyperlink" Target="https://www.lcsc.com/product-detail/Multilayer-Ceramic-Capacitors-MLCC-SMD-SMT_YAGEO-CC0603KRX5R8BB105_C14664.html" TargetMode="External"/><Relationship Id="rId15" Type="http://schemas.openxmlformats.org/officeDocument/2006/relationships/hyperlink" Target="https://www.lcsc.com/product-detail/TVS_Leiditech-LXES15AAA1-153_C5210978.html" TargetMode="External"/><Relationship Id="rId23" Type="http://schemas.openxmlformats.org/officeDocument/2006/relationships/hyperlink" Target="https://www.lcsc.com/product-detail/SIM-Card-Connectors_XKB-Connectivity-XKNANO-113_C381071.html" TargetMode="External"/><Relationship Id="rId28" Type="http://schemas.openxmlformats.org/officeDocument/2006/relationships/hyperlink" Target="https://www.lcsc.com/product-detail/Inductors-SMD_Murata-Electronics-LQW18AN27NG10D_C701182.html" TargetMode="External"/><Relationship Id="rId36" Type="http://schemas.openxmlformats.org/officeDocument/2006/relationships/hyperlink" Target="https://www.lcsc.com/product-detail/Chip-Resistor-Surface-Mount_YAGEO-RT0603BRD073K16L_C861373.html" TargetMode="External"/><Relationship Id="rId49" Type="http://schemas.openxmlformats.org/officeDocument/2006/relationships/hyperlink" Target="https://www.lcsc.com/product-detail/Chip-Resistor-Surface-Mount_YAGEO-RC0402FR-07100KL_C60491.html" TargetMode="External"/><Relationship Id="rId57" Type="http://schemas.openxmlformats.org/officeDocument/2006/relationships/hyperlink" Target="https://www.lcsc.com/product-detail/2G-3G-4G-5G-Modules_SIMCom-Wireless-Solutions-SIM7000A_C126271.html" TargetMode="External"/><Relationship Id="rId10" Type="http://schemas.openxmlformats.org/officeDocument/2006/relationships/hyperlink" Target="https://www.lcsc.com/product-detail/TVS_WILLSEMI-Will-Semicon-ESD5302F-3-TR_C239643.html" TargetMode="External"/><Relationship Id="rId31" Type="http://schemas.openxmlformats.org/officeDocument/2006/relationships/hyperlink" Target="https://www.lcsc.com/product-detail/Bipolar-Transistors-BJT_TECH-PUBLIC-MMBT3904M_C2923360.html" TargetMode="External"/><Relationship Id="rId44" Type="http://schemas.openxmlformats.org/officeDocument/2006/relationships/hyperlink" Target="https://www.lcsc.com/product-detail/Chip-Resistor-Surface-Mount_YAGEO-RC0603FR-071ML_C105578.html" TargetMode="External"/><Relationship Id="rId52" Type="http://schemas.openxmlformats.org/officeDocument/2006/relationships/hyperlink" Target="https://www.lcsc.com/product-detail/DC-DC-Converters_Texas-Instruments-LM2596S-ADJ-NOPB_C1355333.html" TargetMode="External"/><Relationship Id="rId60" Type="http://schemas.openxmlformats.org/officeDocument/2006/relationships/hyperlink" Target="https://www.lcsc.com/product-detail/Crystals_Yangxing-Tech-X322516MLB4SI_C13738.html" TargetMode="External"/><Relationship Id="rId65" Type="http://schemas.openxmlformats.org/officeDocument/2006/relationships/hyperlink" Target="https://www.lcsc.com/product-detail/Spring-Clamp-System-Terminal-Block_Amphenol-ICC-HA0200500000G_C967080.html" TargetMode="External"/><Relationship Id="rId73" Type="http://schemas.openxmlformats.org/officeDocument/2006/relationships/hyperlink" Target="https://www.smart-prototyping.com/Zio-Qwiic-OLED-Display-1_5inch-128x128" TargetMode="External"/><Relationship Id="rId78" Type="http://schemas.openxmlformats.org/officeDocument/2006/relationships/drawing" Target="../drawings/drawing2.xml"/><Relationship Id="rId4" Type="http://schemas.openxmlformats.org/officeDocument/2006/relationships/hyperlink" Target="https://www.lcsc.com/product-detail/Tantalum-Capacitors_PANASONIC-6TPB330ML_C236293.html" TargetMode="External"/><Relationship Id="rId9" Type="http://schemas.openxmlformats.org/officeDocument/2006/relationships/hyperlink" Target="https://www.lcsc.com/product-detail/ESD-Protection-Devices_Nexperia-PESD5V0H1BSF_C477989.html" TargetMode="External"/><Relationship Id="rId13" Type="http://schemas.openxmlformats.org/officeDocument/2006/relationships/hyperlink" Target="https://www.lcsc.com/product-detail/ESD-Protection-Devices_STMicroelectronics-ESDA6V1W5_C48677.html" TargetMode="External"/><Relationship Id="rId18" Type="http://schemas.openxmlformats.org/officeDocument/2006/relationships/hyperlink" Target="https://www.lcsc.com/product-detail/Resettable-Fuses_TECHFUSE-SMD0603-050_C69679.html" TargetMode="External"/><Relationship Id="rId39" Type="http://schemas.openxmlformats.org/officeDocument/2006/relationships/hyperlink" Target="https://www.lcsc.com/product-detail/Chip-Resistor-Surface-Mount_YAGEO-RC0603DR-0716KL_C327136.html" TargetMode="External"/><Relationship Id="rId34" Type="http://schemas.openxmlformats.org/officeDocument/2006/relationships/hyperlink" Target="https://www.lcsc.com/product-detail/Chip-Resistor-Surface-Mount_YAGEO-RC0603FR-0710KL_C98220.html" TargetMode="External"/><Relationship Id="rId50" Type="http://schemas.openxmlformats.org/officeDocument/2006/relationships/hyperlink" Target="https://www.lcsc.com/product-detail/Tactile-Switches_E-Switch-TL3301NF160QG_C273526.html" TargetMode="External"/><Relationship Id="rId55" Type="http://schemas.openxmlformats.org/officeDocument/2006/relationships/hyperlink" Target="https://www.lcsc.com/product-detail/Translators-Level-Shifters_Texas-Instruments-TXB0102DCUT_C2677366.html" TargetMode="External"/><Relationship Id="rId76" Type="http://schemas.openxmlformats.org/officeDocument/2006/relationships/hyperlink" Target="https://www.lcsc.com/product-detail/Operational-Amplifier_Texas-Instruments-LMV321AIDBVR_C484730.html" TargetMode="External"/><Relationship Id="rId7" Type="http://schemas.openxmlformats.org/officeDocument/2006/relationships/hyperlink" Target="https://www.lcsc.com/product-detail/Multilayer-Ceramic-Capacitors-MLCC-SMD-SMT_YAGEO-CC0603JRNPO9BN200_C105621.html" TargetMode="External"/><Relationship Id="rId71" Type="http://schemas.openxmlformats.org/officeDocument/2006/relationships/hyperlink" Target="https://www.lcsc.com/product-detail/IDC-Connectors_XFCN-BH254V-6P_C492441.html" TargetMode="External"/><Relationship Id="rId2" Type="http://schemas.openxmlformats.org/officeDocument/2006/relationships/hyperlink" Target="https://www.lcsc.com/product-detail/Multilayer-Ceramic-Capacitors-MLCC-SMD-SMT_Taiyo-Yuden-UMK107B104KAHT_C386152.html" TargetMode="External"/><Relationship Id="rId29" Type="http://schemas.openxmlformats.org/officeDocument/2006/relationships/hyperlink" Target="https://www.lcsc.com/product-detail/Light-Emitting-Diodes-LED_Everlight-Elec-19-21-R7C-AK1L2BY-3T_C132228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90"/>
  <sheetViews>
    <sheetView topLeftCell="A61" zoomScaleNormal="100" workbookViewId="0">
      <selection activeCell="D41" sqref="D41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3" customWidth="1"/>
    <col min="6" max="6" width="21.140625" customWidth="1"/>
    <col min="7" max="7" width="25.28515625" bestFit="1" customWidth="1"/>
    <col min="8" max="8" width="21" bestFit="1" customWidth="1"/>
    <col min="9" max="9" width="21.5703125" bestFit="1" customWidth="1"/>
    <col min="10" max="10" width="17" bestFit="1" customWidth="1"/>
    <col min="11" max="11" width="6.8554687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13.42578125" bestFit="1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5"/>
      <c r="L1" s="75"/>
      <c r="M1" s="75"/>
      <c r="N1" s="75"/>
      <c r="O1" s="75"/>
      <c r="P1" s="75"/>
      <c r="Q1" s="75"/>
      <c r="R1" s="75"/>
      <c r="S1" s="76"/>
    </row>
    <row r="2" spans="1:19" ht="32.25" thickBot="1" x14ac:dyDescent="0.3">
      <c r="A2" s="1"/>
      <c r="B2" s="21"/>
      <c r="C2" s="31"/>
      <c r="D2" s="11" t="s">
        <v>0</v>
      </c>
      <c r="E2" s="11"/>
      <c r="F2" s="48" t="s">
        <v>398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49" t="s">
        <v>399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7"/>
    </row>
    <row r="4" spans="1:19" x14ac:dyDescent="0.25">
      <c r="A4" s="1"/>
      <c r="B4" s="22"/>
      <c r="C4" s="32"/>
      <c r="D4" s="13" t="s">
        <v>2</v>
      </c>
      <c r="E4" s="13"/>
      <c r="F4" s="50" t="s">
        <v>399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8"/>
    </row>
    <row r="5" spans="1:19" x14ac:dyDescent="0.25">
      <c r="A5" s="1"/>
      <c r="B5" s="22"/>
      <c r="C5" s="32"/>
      <c r="D5" s="13" t="s">
        <v>3</v>
      </c>
      <c r="E5" s="13"/>
      <c r="F5" s="51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8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8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8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8"/>
    </row>
    <row r="9" spans="1:19" ht="15.75" thickBot="1" x14ac:dyDescent="0.3">
      <c r="A9" s="1"/>
      <c r="B9" s="30" t="s">
        <v>4</v>
      </c>
      <c r="C9" s="30" t="s">
        <v>8</v>
      </c>
      <c r="D9" s="52" t="s">
        <v>27</v>
      </c>
      <c r="E9" s="30" t="s">
        <v>87</v>
      </c>
      <c r="F9" s="52" t="s">
        <v>153</v>
      </c>
      <c r="G9" s="30" t="s">
        <v>192</v>
      </c>
      <c r="H9" s="52" t="s">
        <v>248</v>
      </c>
      <c r="I9" s="30" t="s">
        <v>375</v>
      </c>
      <c r="J9" s="52" t="s">
        <v>282</v>
      </c>
      <c r="K9" s="53" t="s">
        <v>376</v>
      </c>
      <c r="L9" s="30" t="s">
        <v>371</v>
      </c>
      <c r="M9" s="54" t="s">
        <v>380</v>
      </c>
      <c r="N9" s="52" t="s">
        <v>381</v>
      </c>
      <c r="O9" s="30" t="s">
        <v>377</v>
      </c>
      <c r="P9" s="52" t="s">
        <v>382</v>
      </c>
      <c r="Q9" s="30" t="s">
        <v>383</v>
      </c>
      <c r="R9" s="52" t="s">
        <v>378</v>
      </c>
      <c r="S9" s="30" t="s">
        <v>379</v>
      </c>
    </row>
    <row r="10" spans="1:19" x14ac:dyDescent="0.25">
      <c r="A10" s="1"/>
      <c r="B10" s="44">
        <f>ROW(B10) - ROW($B$9)</f>
        <v>1</v>
      </c>
      <c r="C10" s="56" t="s">
        <v>9</v>
      </c>
      <c r="D10" s="58" t="s">
        <v>28</v>
      </c>
      <c r="E10" s="37" t="s">
        <v>88</v>
      </c>
      <c r="F10" s="37" t="s">
        <v>154</v>
      </c>
      <c r="G10" s="37" t="s">
        <v>193</v>
      </c>
      <c r="H10" s="37" t="s">
        <v>249</v>
      </c>
      <c r="I10" s="37" t="s">
        <v>372</v>
      </c>
      <c r="J10" s="37" t="s">
        <v>283</v>
      </c>
      <c r="K10" s="37" t="s">
        <v>340</v>
      </c>
      <c r="L10" s="37">
        <v>1</v>
      </c>
      <c r="M10" s="37">
        <f>L10*5</f>
        <v>5</v>
      </c>
      <c r="N10" s="37">
        <v>10</v>
      </c>
      <c r="O10" s="55" t="s">
        <v>385</v>
      </c>
      <c r="P10" s="72">
        <v>0.15939999999999999</v>
      </c>
      <c r="Q10" s="72">
        <f>P10*N10</f>
        <v>1.5939999999999999</v>
      </c>
      <c r="R10" s="37"/>
      <c r="S10" s="73"/>
    </row>
    <row r="11" spans="1:19" ht="60" x14ac:dyDescent="0.25">
      <c r="A11" s="1"/>
      <c r="B11" s="45">
        <f t="shared" ref="B11:B86" si="0">ROW(B11) - ROW($B$9)</f>
        <v>2</v>
      </c>
      <c r="C11" s="60" t="s">
        <v>9</v>
      </c>
      <c r="D11" s="62" t="s">
        <v>443</v>
      </c>
      <c r="E11" s="62" t="s">
        <v>89</v>
      </c>
      <c r="F11" s="62" t="s">
        <v>154</v>
      </c>
      <c r="G11" s="63" t="s">
        <v>194</v>
      </c>
      <c r="H11" s="62" t="s">
        <v>249</v>
      </c>
      <c r="I11" s="62" t="s">
        <v>386</v>
      </c>
      <c r="J11" s="62" t="s">
        <v>284</v>
      </c>
      <c r="K11" s="62" t="s">
        <v>341</v>
      </c>
      <c r="L11" s="62">
        <v>30</v>
      </c>
      <c r="M11" s="62">
        <f t="shared" ref="M11" si="1">L11*5</f>
        <v>150</v>
      </c>
      <c r="N11" s="62">
        <v>200</v>
      </c>
      <c r="O11" s="64" t="s">
        <v>385</v>
      </c>
      <c r="P11" s="65">
        <v>1.04E-2</v>
      </c>
      <c r="Q11" s="65">
        <f t="shared" ref="Q11" si="2">P11*N11</f>
        <v>2.08</v>
      </c>
      <c r="R11" s="62"/>
      <c r="S11" s="62"/>
    </row>
    <row r="12" spans="1:19" x14ac:dyDescent="0.25">
      <c r="A12" s="1"/>
      <c r="B12" s="44">
        <f>ROW(B12) - ROW($B$9)</f>
        <v>3</v>
      </c>
      <c r="C12" s="56" t="s">
        <v>9</v>
      </c>
      <c r="D12" s="58" t="s">
        <v>29</v>
      </c>
      <c r="E12" s="58" t="s">
        <v>400</v>
      </c>
      <c r="F12" s="58" t="s">
        <v>401</v>
      </c>
      <c r="G12" s="58" t="s">
        <v>402</v>
      </c>
      <c r="H12" s="58" t="s">
        <v>403</v>
      </c>
      <c r="I12" s="58" t="s">
        <v>372</v>
      </c>
      <c r="J12" s="58" t="s">
        <v>404</v>
      </c>
      <c r="K12" s="58" t="s">
        <v>342</v>
      </c>
      <c r="L12" s="58">
        <v>2</v>
      </c>
      <c r="M12" s="58">
        <f>L12*5</f>
        <v>10</v>
      </c>
      <c r="N12" s="58">
        <v>20</v>
      </c>
      <c r="O12" s="55" t="s">
        <v>385</v>
      </c>
      <c r="P12" s="59">
        <v>6.2E-2</v>
      </c>
      <c r="Q12" s="59">
        <f>P12*N12</f>
        <v>1.24</v>
      </c>
      <c r="R12" s="57"/>
      <c r="S12" s="37"/>
    </row>
    <row r="13" spans="1:19" x14ac:dyDescent="0.25">
      <c r="A13" s="1"/>
      <c r="B13" s="45">
        <f t="shared" si="0"/>
        <v>4</v>
      </c>
      <c r="C13" s="60" t="s">
        <v>9</v>
      </c>
      <c r="D13" s="62" t="s">
        <v>444</v>
      </c>
      <c r="E13" s="62" t="s">
        <v>90</v>
      </c>
      <c r="F13" s="62" t="s">
        <v>384</v>
      </c>
      <c r="G13" s="62" t="s">
        <v>155</v>
      </c>
      <c r="H13" s="62" t="s">
        <v>251</v>
      </c>
      <c r="I13" s="62" t="s">
        <v>372</v>
      </c>
      <c r="J13" s="62" t="s">
        <v>285</v>
      </c>
      <c r="K13" s="62" t="s">
        <v>343</v>
      </c>
      <c r="L13" s="62">
        <v>3</v>
      </c>
      <c r="M13" s="62">
        <f t="shared" ref="M13" si="3">L13*5</f>
        <v>15</v>
      </c>
      <c r="N13" s="62">
        <v>17</v>
      </c>
      <c r="O13" s="64" t="s">
        <v>385</v>
      </c>
      <c r="P13" s="65">
        <v>0.49540000000000001</v>
      </c>
      <c r="Q13" s="65">
        <f t="shared" ref="Q13" si="4">P13*N13</f>
        <v>8.4217999999999993</v>
      </c>
      <c r="R13" s="66"/>
      <c r="S13" s="62"/>
    </row>
    <row r="14" spans="1:19" x14ac:dyDescent="0.25">
      <c r="A14" s="1"/>
      <c r="B14" s="45">
        <f t="shared" si="0"/>
        <v>5</v>
      </c>
      <c r="C14" s="56" t="s">
        <v>9</v>
      </c>
      <c r="D14" s="58" t="s">
        <v>30</v>
      </c>
      <c r="E14" s="58" t="s">
        <v>91</v>
      </c>
      <c r="F14" s="58" t="s">
        <v>156</v>
      </c>
      <c r="G14" s="58" t="s">
        <v>195</v>
      </c>
      <c r="H14" s="58" t="s">
        <v>251</v>
      </c>
      <c r="I14" s="58" t="s">
        <v>372</v>
      </c>
      <c r="J14" s="58" t="s">
        <v>286</v>
      </c>
      <c r="K14" s="58" t="s">
        <v>344</v>
      </c>
      <c r="L14" s="58">
        <v>1</v>
      </c>
      <c r="M14" s="58">
        <f t="shared" ref="M14" si="5">L14*5</f>
        <v>5</v>
      </c>
      <c r="N14" s="58">
        <v>6</v>
      </c>
      <c r="O14" s="55" t="s">
        <v>385</v>
      </c>
      <c r="P14" s="59">
        <v>0.91320000000000001</v>
      </c>
      <c r="Q14" s="59">
        <f t="shared" ref="Q14" si="6">P14*N14</f>
        <v>5.4792000000000005</v>
      </c>
      <c r="R14" s="57"/>
      <c r="S14" s="37"/>
    </row>
    <row r="15" spans="1:19" ht="24" x14ac:dyDescent="0.25">
      <c r="A15" s="1"/>
      <c r="B15" s="44">
        <f>ROW(B15) - ROW($B$9)</f>
        <v>6</v>
      </c>
      <c r="C15" s="60" t="s">
        <v>9</v>
      </c>
      <c r="D15" s="61" t="s">
        <v>31</v>
      </c>
      <c r="E15" s="62" t="s">
        <v>92</v>
      </c>
      <c r="F15" s="62" t="s">
        <v>154</v>
      </c>
      <c r="G15" s="62" t="s">
        <v>196</v>
      </c>
      <c r="H15" s="62" t="s">
        <v>249</v>
      </c>
      <c r="I15" s="62" t="s">
        <v>372</v>
      </c>
      <c r="J15" s="62" t="s">
        <v>287</v>
      </c>
      <c r="K15" s="62" t="s">
        <v>345</v>
      </c>
      <c r="L15" s="62">
        <v>12</v>
      </c>
      <c r="M15" s="62">
        <f>L15*5</f>
        <v>60</v>
      </c>
      <c r="N15" s="62">
        <v>100</v>
      </c>
      <c r="O15" s="64" t="s">
        <v>385</v>
      </c>
      <c r="P15" s="65">
        <v>2.8E-3</v>
      </c>
      <c r="Q15" s="65">
        <f>P15*N15</f>
        <v>0.27999999999999997</v>
      </c>
      <c r="R15" s="62"/>
      <c r="S15" s="62"/>
    </row>
    <row r="16" spans="1:19" x14ac:dyDescent="0.25">
      <c r="A16" s="1"/>
      <c r="B16" s="45">
        <f t="shared" si="0"/>
        <v>7</v>
      </c>
      <c r="C16" s="56" t="s">
        <v>9</v>
      </c>
      <c r="D16" s="37" t="s">
        <v>445</v>
      </c>
      <c r="E16" s="58" t="s">
        <v>93</v>
      </c>
      <c r="F16" s="58" t="s">
        <v>154</v>
      </c>
      <c r="G16" s="58" t="s">
        <v>197</v>
      </c>
      <c r="H16" s="58" t="s">
        <v>249</v>
      </c>
      <c r="I16" s="58" t="s">
        <v>372</v>
      </c>
      <c r="J16" s="58" t="s">
        <v>288</v>
      </c>
      <c r="K16" s="58" t="s">
        <v>346</v>
      </c>
      <c r="L16" s="58">
        <v>2</v>
      </c>
      <c r="M16" s="58">
        <f t="shared" ref="M16" si="7">L16*5</f>
        <v>10</v>
      </c>
      <c r="N16" s="58">
        <v>100</v>
      </c>
      <c r="O16" s="55" t="s">
        <v>385</v>
      </c>
      <c r="P16" s="59">
        <v>4.8999999999999998E-3</v>
      </c>
      <c r="Q16" s="59">
        <f t="shared" ref="Q16" si="8">P16*N16</f>
        <v>0.49</v>
      </c>
      <c r="R16" s="57"/>
      <c r="S16" s="37"/>
    </row>
    <row r="17" spans="1:19" x14ac:dyDescent="0.25">
      <c r="A17" s="1"/>
      <c r="B17" s="44">
        <f>ROW(B17) - ROW($B$9)</f>
        <v>8</v>
      </c>
      <c r="C17" s="60" t="s">
        <v>9</v>
      </c>
      <c r="D17" s="61" t="s">
        <v>32</v>
      </c>
      <c r="E17" s="62" t="s">
        <v>94</v>
      </c>
      <c r="F17" s="62" t="s">
        <v>157</v>
      </c>
      <c r="G17" s="63" t="s">
        <v>198</v>
      </c>
      <c r="H17" s="62" t="s">
        <v>252</v>
      </c>
      <c r="I17" s="62" t="s">
        <v>417</v>
      </c>
      <c r="J17" s="62" t="s">
        <v>416</v>
      </c>
      <c r="K17" s="62" t="s">
        <v>347</v>
      </c>
      <c r="L17" s="62">
        <v>1</v>
      </c>
      <c r="M17" s="62">
        <f>L17*5</f>
        <v>5</v>
      </c>
      <c r="N17" s="62">
        <v>100</v>
      </c>
      <c r="O17" s="64" t="s">
        <v>385</v>
      </c>
      <c r="P17" s="65">
        <v>1.2999999999999999E-3</v>
      </c>
      <c r="Q17" s="65">
        <f>P17*N17</f>
        <v>0.13</v>
      </c>
      <c r="R17" s="62"/>
      <c r="S17" s="62"/>
    </row>
    <row r="18" spans="1:19" x14ac:dyDescent="0.25">
      <c r="A18" s="1"/>
      <c r="B18" s="45">
        <f t="shared" si="0"/>
        <v>9</v>
      </c>
      <c r="C18" s="56" t="s">
        <v>9</v>
      </c>
      <c r="D18" s="58" t="s">
        <v>33</v>
      </c>
      <c r="E18" s="58" t="s">
        <v>95</v>
      </c>
      <c r="F18" s="58" t="s">
        <v>154</v>
      </c>
      <c r="G18" s="58" t="s">
        <v>199</v>
      </c>
      <c r="H18" s="58" t="s">
        <v>249</v>
      </c>
      <c r="I18" s="58" t="s">
        <v>372</v>
      </c>
      <c r="J18" s="58" t="s">
        <v>289</v>
      </c>
      <c r="K18" s="58" t="s">
        <v>348</v>
      </c>
      <c r="L18" s="58">
        <v>2</v>
      </c>
      <c r="M18" s="58">
        <f t="shared" ref="M18" si="9">L18*5</f>
        <v>10</v>
      </c>
      <c r="N18" s="58">
        <v>100</v>
      </c>
      <c r="O18" s="55" t="s">
        <v>385</v>
      </c>
      <c r="P18" s="59">
        <v>2.8999999999999998E-3</v>
      </c>
      <c r="Q18" s="59">
        <f t="shared" ref="Q18" si="10">P18*N18</f>
        <v>0.28999999999999998</v>
      </c>
      <c r="R18" s="57"/>
      <c r="S18" s="37"/>
    </row>
    <row r="19" spans="1:19" x14ac:dyDescent="0.25">
      <c r="A19" s="1"/>
      <c r="B19" s="44">
        <f>ROW(B19) - ROW($B$9)</f>
        <v>10</v>
      </c>
      <c r="C19" s="60" t="s">
        <v>9</v>
      </c>
      <c r="D19" s="61" t="s">
        <v>405</v>
      </c>
      <c r="E19" s="62" t="s">
        <v>96</v>
      </c>
      <c r="F19" s="62" t="s">
        <v>154</v>
      </c>
      <c r="G19" s="62" t="s">
        <v>200</v>
      </c>
      <c r="H19" s="62" t="s">
        <v>249</v>
      </c>
      <c r="I19" s="62" t="s">
        <v>372</v>
      </c>
      <c r="J19" s="62" t="s">
        <v>290</v>
      </c>
      <c r="K19" s="62" t="s">
        <v>349</v>
      </c>
      <c r="L19" s="62">
        <v>2</v>
      </c>
      <c r="M19" s="62">
        <f>L19*5</f>
        <v>10</v>
      </c>
      <c r="N19" s="62">
        <v>20</v>
      </c>
      <c r="O19" s="64" t="s">
        <v>385</v>
      </c>
      <c r="P19" s="65">
        <v>2.3599999999999999E-2</v>
      </c>
      <c r="Q19" s="65">
        <f>P19*N19</f>
        <v>0.47199999999999998</v>
      </c>
      <c r="R19" s="62"/>
      <c r="S19" s="62"/>
    </row>
    <row r="20" spans="1:19" x14ac:dyDescent="0.25">
      <c r="A20" s="1"/>
      <c r="B20" s="44">
        <f>ROW(B20) - ROW($B$9)</f>
        <v>11</v>
      </c>
      <c r="C20" s="60" t="s">
        <v>9</v>
      </c>
      <c r="D20" s="37" t="s">
        <v>419</v>
      </c>
      <c r="E20" s="37" t="s">
        <v>420</v>
      </c>
      <c r="F20" s="37" t="s">
        <v>384</v>
      </c>
      <c r="G20" s="37" t="s">
        <v>421</v>
      </c>
      <c r="H20" s="37" t="s">
        <v>251</v>
      </c>
      <c r="I20" s="37" t="s">
        <v>372</v>
      </c>
      <c r="J20" s="37" t="s">
        <v>422</v>
      </c>
      <c r="K20" s="37" t="s">
        <v>423</v>
      </c>
      <c r="L20" s="37">
        <v>1</v>
      </c>
      <c r="M20" s="37">
        <f>L20*5</f>
        <v>5</v>
      </c>
      <c r="N20" s="37">
        <v>6</v>
      </c>
      <c r="O20" s="55" t="s">
        <v>385</v>
      </c>
      <c r="P20" s="72">
        <v>0.51590000000000003</v>
      </c>
      <c r="Q20" s="72">
        <f>P20*N20</f>
        <v>3.0954000000000002</v>
      </c>
      <c r="R20" s="37"/>
      <c r="S20" s="74"/>
    </row>
    <row r="21" spans="1:19" x14ac:dyDescent="0.25">
      <c r="A21" s="1"/>
      <c r="B21" s="44">
        <v>12</v>
      </c>
      <c r="C21" s="60" t="s">
        <v>9</v>
      </c>
      <c r="D21" s="62" t="s">
        <v>446</v>
      </c>
      <c r="E21" s="62" t="s">
        <v>447</v>
      </c>
      <c r="F21" s="62" t="s">
        <v>401</v>
      </c>
      <c r="G21" s="62" t="s">
        <v>448</v>
      </c>
      <c r="H21" s="62" t="s">
        <v>249</v>
      </c>
      <c r="I21" s="62" t="s">
        <v>372</v>
      </c>
      <c r="J21" s="62" t="s">
        <v>449</v>
      </c>
      <c r="K21" s="62" t="s">
        <v>450</v>
      </c>
      <c r="L21" s="62">
        <v>2</v>
      </c>
      <c r="M21" s="37">
        <f>L21*5</f>
        <v>10</v>
      </c>
      <c r="N21" s="37">
        <v>100</v>
      </c>
      <c r="O21" s="55" t="s">
        <v>385</v>
      </c>
      <c r="P21" s="72">
        <v>3.2399999999999998E-2</v>
      </c>
      <c r="Q21" s="72">
        <f>P21*N21</f>
        <v>3.2399999999999998</v>
      </c>
      <c r="R21" s="37"/>
      <c r="S21" s="37"/>
    </row>
    <row r="22" spans="1:19" x14ac:dyDescent="0.25">
      <c r="A22" s="1"/>
      <c r="B22" s="45">
        <f t="shared" si="0"/>
        <v>13</v>
      </c>
      <c r="C22" s="56" t="s">
        <v>10</v>
      </c>
      <c r="D22" s="58" t="s">
        <v>34</v>
      </c>
      <c r="E22" s="58" t="s">
        <v>97</v>
      </c>
      <c r="F22" s="58" t="s">
        <v>158</v>
      </c>
      <c r="G22" s="58" t="s">
        <v>201</v>
      </c>
      <c r="H22" s="58" t="s">
        <v>253</v>
      </c>
      <c r="I22" s="58"/>
      <c r="J22" s="58" t="s">
        <v>291</v>
      </c>
      <c r="K22" s="58" t="s">
        <v>372</v>
      </c>
      <c r="L22" s="58">
        <v>7</v>
      </c>
      <c r="M22" s="58">
        <f t="shared" ref="M22" si="11">L22*5</f>
        <v>35</v>
      </c>
      <c r="N22" s="58">
        <v>40</v>
      </c>
      <c r="O22" s="55" t="s">
        <v>385</v>
      </c>
      <c r="P22" s="59">
        <v>6.3700000000000007E-2</v>
      </c>
      <c r="Q22" s="59">
        <f t="shared" ref="Q22" si="12">P22*N22</f>
        <v>2.548</v>
      </c>
      <c r="R22" s="57"/>
      <c r="S22" s="37"/>
    </row>
    <row r="23" spans="1:19" ht="24" x14ac:dyDescent="0.25">
      <c r="A23" s="1"/>
      <c r="B23" s="44">
        <f>ROW(B23) - ROW($B$9)</f>
        <v>14</v>
      </c>
      <c r="C23" s="60" t="s">
        <v>10</v>
      </c>
      <c r="D23" s="61" t="s">
        <v>35</v>
      </c>
      <c r="E23" s="62" t="s">
        <v>98</v>
      </c>
      <c r="F23" s="62" t="s">
        <v>159</v>
      </c>
      <c r="G23" s="62" t="s">
        <v>202</v>
      </c>
      <c r="H23" s="62" t="s">
        <v>254</v>
      </c>
      <c r="I23" s="62" t="s">
        <v>372</v>
      </c>
      <c r="J23" s="62" t="s">
        <v>292</v>
      </c>
      <c r="K23" s="62" t="s">
        <v>372</v>
      </c>
      <c r="L23" s="62">
        <v>2</v>
      </c>
      <c r="M23" s="62">
        <f>L23*5</f>
        <v>10</v>
      </c>
      <c r="N23" s="62">
        <v>15</v>
      </c>
      <c r="O23" s="64" t="s">
        <v>385</v>
      </c>
      <c r="P23" s="65">
        <v>8.6400000000000005E-2</v>
      </c>
      <c r="Q23" s="65">
        <f>P23*N23</f>
        <v>1.296</v>
      </c>
      <c r="R23" s="62"/>
      <c r="S23" s="37"/>
    </row>
    <row r="24" spans="1:19" ht="36" x14ac:dyDescent="0.25">
      <c r="A24" s="1"/>
      <c r="B24" s="45">
        <f t="shared" si="0"/>
        <v>15</v>
      </c>
      <c r="C24" s="56" t="s">
        <v>10</v>
      </c>
      <c r="D24" s="58" t="s">
        <v>36</v>
      </c>
      <c r="E24" s="58" t="s">
        <v>99</v>
      </c>
      <c r="F24" s="58" t="s">
        <v>160</v>
      </c>
      <c r="G24" s="58" t="s">
        <v>203</v>
      </c>
      <c r="H24" s="58" t="s">
        <v>255</v>
      </c>
      <c r="I24" s="58" t="s">
        <v>372</v>
      </c>
      <c r="J24" s="58" t="s">
        <v>293</v>
      </c>
      <c r="K24" s="58" t="s">
        <v>372</v>
      </c>
      <c r="L24" s="58">
        <v>1</v>
      </c>
      <c r="M24" s="58">
        <f t="shared" ref="M24" si="13">L24*5</f>
        <v>5</v>
      </c>
      <c r="N24" s="58">
        <v>20</v>
      </c>
      <c r="O24" s="55" t="s">
        <v>385</v>
      </c>
      <c r="P24" s="59">
        <v>3.32E-2</v>
      </c>
      <c r="Q24" s="59">
        <f t="shared" ref="Q24" si="14">P24*N24</f>
        <v>0.66400000000000003</v>
      </c>
      <c r="R24" s="57"/>
      <c r="S24" s="37"/>
    </row>
    <row r="25" spans="1:19" ht="24" x14ac:dyDescent="0.25">
      <c r="A25" s="1"/>
      <c r="B25" s="44">
        <f>ROW(B25) - ROW($B$9)</f>
        <v>16</v>
      </c>
      <c r="C25" s="60" t="s">
        <v>10</v>
      </c>
      <c r="D25" s="61" t="s">
        <v>37</v>
      </c>
      <c r="E25" s="62" t="s">
        <v>393</v>
      </c>
      <c r="F25" s="62" t="s">
        <v>394</v>
      </c>
      <c r="G25" s="62" t="s">
        <v>204</v>
      </c>
      <c r="H25" s="62" t="s">
        <v>256</v>
      </c>
      <c r="I25" s="62" t="s">
        <v>372</v>
      </c>
      <c r="J25" s="62" t="s">
        <v>395</v>
      </c>
      <c r="K25" s="62" t="s">
        <v>372</v>
      </c>
      <c r="L25" s="62">
        <v>1</v>
      </c>
      <c r="M25" s="62">
        <f>L25*5</f>
        <v>5</v>
      </c>
      <c r="N25" s="62">
        <v>20</v>
      </c>
      <c r="O25" s="64" t="s">
        <v>385</v>
      </c>
      <c r="P25" s="65">
        <v>3.6200000000000003E-2</v>
      </c>
      <c r="Q25" s="65">
        <f>P25*N25</f>
        <v>0.72400000000000009</v>
      </c>
      <c r="R25" s="62"/>
      <c r="S25" s="37"/>
    </row>
    <row r="26" spans="1:19" ht="24" x14ac:dyDescent="0.25">
      <c r="A26" s="1"/>
      <c r="B26" s="45">
        <f t="shared" si="0"/>
        <v>17</v>
      </c>
      <c r="C26" s="56" t="s">
        <v>10</v>
      </c>
      <c r="D26" s="58" t="s">
        <v>38</v>
      </c>
      <c r="E26" s="58" t="s">
        <v>100</v>
      </c>
      <c r="F26" s="58" t="s">
        <v>161</v>
      </c>
      <c r="G26" s="58" t="s">
        <v>205</v>
      </c>
      <c r="H26" s="58" t="s">
        <v>257</v>
      </c>
      <c r="I26" s="58" t="s">
        <v>372</v>
      </c>
      <c r="J26" s="58" t="s">
        <v>294</v>
      </c>
      <c r="K26" s="58" t="s">
        <v>372</v>
      </c>
      <c r="L26" s="58">
        <v>8</v>
      </c>
      <c r="M26" s="58">
        <f t="shared" ref="M26" si="15">L26*5</f>
        <v>40</v>
      </c>
      <c r="N26" s="58">
        <v>60</v>
      </c>
      <c r="O26" s="55" t="s">
        <v>385</v>
      </c>
      <c r="P26" s="59">
        <v>2.0400000000000001E-2</v>
      </c>
      <c r="Q26" s="59">
        <f t="shared" ref="Q26" si="16">P26*N26</f>
        <v>1.2240000000000002</v>
      </c>
      <c r="R26" s="57"/>
      <c r="S26" s="37"/>
    </row>
    <row r="27" spans="1:19" x14ac:dyDescent="0.25">
      <c r="A27" s="1"/>
      <c r="B27" s="44">
        <f>ROW(B27) - ROW($B$9)</f>
        <v>18</v>
      </c>
      <c r="C27" s="60" t="s">
        <v>10</v>
      </c>
      <c r="D27" s="61" t="s">
        <v>39</v>
      </c>
      <c r="E27" s="62" t="s">
        <v>101</v>
      </c>
      <c r="F27" s="62" t="s">
        <v>162</v>
      </c>
      <c r="G27" s="62" t="s">
        <v>206</v>
      </c>
      <c r="H27" s="62" t="s">
        <v>258</v>
      </c>
      <c r="I27" s="62" t="s">
        <v>372</v>
      </c>
      <c r="J27" s="62" t="s">
        <v>295</v>
      </c>
      <c r="K27" s="62" t="s">
        <v>372</v>
      </c>
      <c r="L27" s="62">
        <v>1</v>
      </c>
      <c r="M27" s="62">
        <f>L27*5</f>
        <v>5</v>
      </c>
      <c r="N27" s="62">
        <v>10</v>
      </c>
      <c r="O27" s="64" t="s">
        <v>385</v>
      </c>
      <c r="P27" s="65">
        <v>0.104</v>
      </c>
      <c r="Q27" s="65">
        <f>P27*N27</f>
        <v>1.04</v>
      </c>
      <c r="R27" s="62"/>
      <c r="S27" s="62"/>
    </row>
    <row r="28" spans="1:19" ht="24" x14ac:dyDescent="0.25">
      <c r="A28" s="1"/>
      <c r="B28" s="45">
        <f t="shared" si="0"/>
        <v>19</v>
      </c>
      <c r="C28" s="56" t="s">
        <v>10</v>
      </c>
      <c r="D28" s="58" t="s">
        <v>40</v>
      </c>
      <c r="E28" s="58" t="s">
        <v>102</v>
      </c>
      <c r="F28" s="58" t="s">
        <v>163</v>
      </c>
      <c r="G28" s="58" t="s">
        <v>207</v>
      </c>
      <c r="H28" s="58" t="s">
        <v>259</v>
      </c>
      <c r="I28" s="58" t="s">
        <v>372</v>
      </c>
      <c r="J28" s="58" t="s">
        <v>296</v>
      </c>
      <c r="K28" s="58" t="s">
        <v>372</v>
      </c>
      <c r="L28" s="58">
        <v>3</v>
      </c>
      <c r="M28" s="58">
        <f t="shared" ref="M28" si="17">L28*5</f>
        <v>15</v>
      </c>
      <c r="N28" s="58">
        <v>20</v>
      </c>
      <c r="O28" s="55" t="s">
        <v>385</v>
      </c>
      <c r="P28" s="59">
        <v>3.1699999999999999E-2</v>
      </c>
      <c r="Q28" s="59">
        <f t="shared" ref="Q28" si="18">P28*N28</f>
        <v>0.63400000000000001</v>
      </c>
      <c r="R28" s="57"/>
      <c r="S28" s="37"/>
    </row>
    <row r="29" spans="1:19" x14ac:dyDescent="0.25">
      <c r="A29" s="1"/>
      <c r="B29" s="44">
        <f>ROW(B29) - ROW($B$9)</f>
        <v>20</v>
      </c>
      <c r="C29" s="60" t="s">
        <v>11</v>
      </c>
      <c r="D29" s="61" t="s">
        <v>41</v>
      </c>
      <c r="E29" s="62" t="s">
        <v>103</v>
      </c>
      <c r="F29" s="62" t="s">
        <v>164</v>
      </c>
      <c r="G29" s="62" t="s">
        <v>208</v>
      </c>
      <c r="H29" s="62" t="s">
        <v>260</v>
      </c>
      <c r="I29" s="62" t="s">
        <v>372</v>
      </c>
      <c r="J29" s="62" t="s">
        <v>297</v>
      </c>
      <c r="K29" s="62" t="s">
        <v>372</v>
      </c>
      <c r="L29" s="62">
        <v>1</v>
      </c>
      <c r="M29" s="62">
        <f>L29*5</f>
        <v>5</v>
      </c>
      <c r="N29" s="62">
        <v>10</v>
      </c>
      <c r="O29" s="64" t="s">
        <v>385</v>
      </c>
      <c r="P29" s="65">
        <v>3.5400000000000001E-2</v>
      </c>
      <c r="Q29" s="65">
        <f>P29*N29</f>
        <v>0.35399999999999998</v>
      </c>
      <c r="R29" s="62"/>
      <c r="S29" s="62"/>
    </row>
    <row r="30" spans="1:19" ht="24" x14ac:dyDescent="0.25">
      <c r="A30" s="1"/>
      <c r="B30" s="45">
        <f t="shared" si="0"/>
        <v>21</v>
      </c>
      <c r="C30" s="56" t="s">
        <v>10</v>
      </c>
      <c r="D30" s="58" t="s">
        <v>42</v>
      </c>
      <c r="E30" s="58" t="s">
        <v>104</v>
      </c>
      <c r="F30" s="58" t="s">
        <v>163</v>
      </c>
      <c r="G30" s="58" t="s">
        <v>209</v>
      </c>
      <c r="H30" s="58" t="s">
        <v>254</v>
      </c>
      <c r="I30" s="58" t="s">
        <v>372</v>
      </c>
      <c r="J30" s="58" t="s">
        <v>298</v>
      </c>
      <c r="K30" s="58" t="s">
        <v>372</v>
      </c>
      <c r="L30" s="58">
        <v>5</v>
      </c>
      <c r="M30" s="58">
        <f t="shared" ref="M30" si="19">L30*5</f>
        <v>25</v>
      </c>
      <c r="N30" s="58">
        <v>50</v>
      </c>
      <c r="O30" s="55" t="s">
        <v>385</v>
      </c>
      <c r="P30" s="59">
        <v>1.7999999999999999E-2</v>
      </c>
      <c r="Q30" s="59">
        <f t="shared" ref="Q30" si="20">P30*N30</f>
        <v>0.89999999999999991</v>
      </c>
      <c r="R30" s="57"/>
      <c r="S30" s="37"/>
    </row>
    <row r="31" spans="1:19" x14ac:dyDescent="0.25">
      <c r="A31" s="1"/>
      <c r="B31" s="44">
        <f>ROW(B31) - ROW($B$9)</f>
        <v>22</v>
      </c>
      <c r="C31" s="60" t="s">
        <v>12</v>
      </c>
      <c r="D31" s="61" t="s">
        <v>43</v>
      </c>
      <c r="E31" s="62" t="s">
        <v>105</v>
      </c>
      <c r="F31" s="62" t="s">
        <v>165</v>
      </c>
      <c r="G31" s="62" t="s">
        <v>210</v>
      </c>
      <c r="H31" s="62" t="s">
        <v>261</v>
      </c>
      <c r="I31" s="62" t="s">
        <v>372</v>
      </c>
      <c r="J31" s="62" t="s">
        <v>299</v>
      </c>
      <c r="K31" s="62" t="s">
        <v>372</v>
      </c>
      <c r="L31" s="62">
        <v>1</v>
      </c>
      <c r="M31" s="62">
        <f>L31*5</f>
        <v>5</v>
      </c>
      <c r="N31" s="62">
        <v>6</v>
      </c>
      <c r="O31" s="64" t="s">
        <v>385</v>
      </c>
      <c r="P31" s="65">
        <v>0.2319</v>
      </c>
      <c r="Q31" s="65">
        <f>P31*N31</f>
        <v>1.3914</v>
      </c>
      <c r="R31" s="62"/>
      <c r="S31" s="62"/>
    </row>
    <row r="32" spans="1:19" ht="24" x14ac:dyDescent="0.25">
      <c r="A32" s="1"/>
      <c r="B32" s="45">
        <f t="shared" si="0"/>
        <v>23</v>
      </c>
      <c r="C32" s="56" t="s">
        <v>12</v>
      </c>
      <c r="D32" s="58" t="s">
        <v>44</v>
      </c>
      <c r="E32" s="58" t="s">
        <v>106</v>
      </c>
      <c r="F32" s="58" t="s">
        <v>166</v>
      </c>
      <c r="G32" s="58" t="s">
        <v>211</v>
      </c>
      <c r="H32" s="58" t="s">
        <v>262</v>
      </c>
      <c r="I32" s="58" t="s">
        <v>372</v>
      </c>
      <c r="J32" s="58" t="s">
        <v>390</v>
      </c>
      <c r="K32" s="58" t="s">
        <v>372</v>
      </c>
      <c r="L32" s="58">
        <v>2</v>
      </c>
      <c r="M32" s="58">
        <f t="shared" ref="M32" si="21">L32*5</f>
        <v>10</v>
      </c>
      <c r="N32" s="58">
        <v>20</v>
      </c>
      <c r="O32" s="55" t="s">
        <v>385</v>
      </c>
      <c r="P32" s="59">
        <v>4.5900000000000003E-2</v>
      </c>
      <c r="Q32" s="59">
        <f t="shared" ref="Q32" si="22">P32*N32</f>
        <v>0.91800000000000004</v>
      </c>
      <c r="R32" s="57"/>
      <c r="S32" s="37"/>
    </row>
    <row r="33" spans="1:19" x14ac:dyDescent="0.25">
      <c r="A33" s="1"/>
      <c r="B33" s="44">
        <f>ROW(B33) - ROW($B$9)</f>
        <v>24</v>
      </c>
      <c r="C33" s="60" t="s">
        <v>13</v>
      </c>
      <c r="D33" s="61" t="s">
        <v>45</v>
      </c>
      <c r="E33" s="62" t="s">
        <v>107</v>
      </c>
      <c r="F33" s="62" t="s">
        <v>167</v>
      </c>
      <c r="G33" s="62" t="s">
        <v>212</v>
      </c>
      <c r="H33" s="62" t="s">
        <v>252</v>
      </c>
      <c r="I33" s="62" t="s">
        <v>372</v>
      </c>
      <c r="J33" s="62" t="s">
        <v>300</v>
      </c>
      <c r="K33" s="62" t="s">
        <v>350</v>
      </c>
      <c r="L33" s="62">
        <v>1</v>
      </c>
      <c r="M33" s="62">
        <f>L33*5</f>
        <v>5</v>
      </c>
      <c r="N33" s="62">
        <v>10</v>
      </c>
      <c r="O33" s="64" t="s">
        <v>385</v>
      </c>
      <c r="P33" s="65">
        <v>0.1193</v>
      </c>
      <c r="Q33" s="65">
        <f>P33*N33</f>
        <v>1.1930000000000001</v>
      </c>
      <c r="R33" s="62"/>
      <c r="S33" s="62"/>
    </row>
    <row r="34" spans="1:19" ht="24" x14ac:dyDescent="0.25">
      <c r="A34" s="1"/>
      <c r="B34" s="45">
        <f t="shared" si="0"/>
        <v>25</v>
      </c>
      <c r="C34" s="56" t="s">
        <v>13</v>
      </c>
      <c r="D34" s="58" t="s">
        <v>46</v>
      </c>
      <c r="E34" s="58" t="s">
        <v>108</v>
      </c>
      <c r="F34" s="58" t="s">
        <v>168</v>
      </c>
      <c r="G34" s="58" t="s">
        <v>213</v>
      </c>
      <c r="H34" s="58" t="s">
        <v>250</v>
      </c>
      <c r="I34" s="58" t="s">
        <v>372</v>
      </c>
      <c r="J34" s="58" t="s">
        <v>301</v>
      </c>
      <c r="K34" s="58" t="s">
        <v>372</v>
      </c>
      <c r="L34" s="58">
        <v>8</v>
      </c>
      <c r="M34" s="58">
        <f t="shared" ref="M34" si="23">L34*5</f>
        <v>40</v>
      </c>
      <c r="N34" s="58">
        <v>50</v>
      </c>
      <c r="O34" s="55" t="s">
        <v>385</v>
      </c>
      <c r="P34" s="59">
        <v>4.5600000000000002E-2</v>
      </c>
      <c r="Q34" s="59">
        <f t="shared" ref="Q34" si="24">P34*N34</f>
        <v>2.2800000000000002</v>
      </c>
      <c r="R34" s="57"/>
      <c r="S34" s="37"/>
    </row>
    <row r="35" spans="1:19" x14ac:dyDescent="0.25">
      <c r="A35" s="1"/>
      <c r="B35" s="44">
        <f>ROW(B35) - ROW($B$9)</f>
        <v>26</v>
      </c>
      <c r="C35" s="60" t="s">
        <v>14</v>
      </c>
      <c r="D35" s="61" t="s">
        <v>411</v>
      </c>
      <c r="E35" s="62" t="s">
        <v>109</v>
      </c>
      <c r="F35" s="62" t="s">
        <v>384</v>
      </c>
      <c r="G35" s="62" t="s">
        <v>214</v>
      </c>
      <c r="H35" s="62" t="s">
        <v>263</v>
      </c>
      <c r="I35" s="62" t="s">
        <v>372</v>
      </c>
      <c r="J35" s="62" t="s">
        <v>302</v>
      </c>
      <c r="K35" s="62" t="s">
        <v>372</v>
      </c>
      <c r="L35" s="62">
        <v>2</v>
      </c>
      <c r="M35" s="62">
        <f>L35*5</f>
        <v>10</v>
      </c>
      <c r="N35" s="62">
        <v>12</v>
      </c>
      <c r="O35" s="64" t="s">
        <v>385</v>
      </c>
      <c r="P35" s="65">
        <v>0.1734</v>
      </c>
      <c r="Q35" s="65">
        <f>P35*N35</f>
        <v>2.0808</v>
      </c>
      <c r="R35" s="62"/>
      <c r="S35" s="62"/>
    </row>
    <row r="36" spans="1:19" x14ac:dyDescent="0.25">
      <c r="A36" s="1"/>
      <c r="B36" s="45">
        <f t="shared" ref="B36" si="25">ROW(B36) - ROW($B$9)</f>
        <v>27</v>
      </c>
      <c r="C36" s="56" t="s">
        <v>14</v>
      </c>
      <c r="D36" s="58" t="s">
        <v>406</v>
      </c>
      <c r="E36" s="58" t="s">
        <v>407</v>
      </c>
      <c r="F36" s="58">
        <v>1051330011</v>
      </c>
      <c r="G36" s="58" t="s">
        <v>408</v>
      </c>
      <c r="H36" s="58" t="s">
        <v>409</v>
      </c>
      <c r="I36" s="58" t="s">
        <v>372</v>
      </c>
      <c r="J36" s="58" t="s">
        <v>410</v>
      </c>
      <c r="K36" s="58" t="s">
        <v>372</v>
      </c>
      <c r="L36" s="58">
        <v>1</v>
      </c>
      <c r="M36" s="58">
        <f t="shared" ref="M36" si="26">L36*5</f>
        <v>5</v>
      </c>
      <c r="N36" s="58">
        <v>6</v>
      </c>
      <c r="O36" s="55" t="s">
        <v>385</v>
      </c>
      <c r="P36" s="59">
        <v>0.41049999999999998</v>
      </c>
      <c r="Q36" s="59">
        <f t="shared" ref="Q36" si="27">P36*N36</f>
        <v>2.4630000000000001</v>
      </c>
      <c r="R36" s="57"/>
      <c r="S36" s="37"/>
    </row>
    <row r="37" spans="1:19" x14ac:dyDescent="0.25">
      <c r="A37" s="1"/>
      <c r="B37" s="45">
        <f t="shared" si="0"/>
        <v>28</v>
      </c>
      <c r="C37" s="60" t="s">
        <v>15</v>
      </c>
      <c r="D37" s="61" t="s">
        <v>47</v>
      </c>
      <c r="E37" s="62" t="s">
        <v>412</v>
      </c>
      <c r="F37" s="62" t="s">
        <v>384</v>
      </c>
      <c r="G37" s="62" t="s">
        <v>413</v>
      </c>
      <c r="H37" s="62" t="s">
        <v>414</v>
      </c>
      <c r="I37" s="62"/>
      <c r="J37" s="62" t="s">
        <v>415</v>
      </c>
      <c r="K37" s="62" t="s">
        <v>372</v>
      </c>
      <c r="L37" s="62">
        <v>6</v>
      </c>
      <c r="M37" s="62">
        <f t="shared" ref="M37" si="28">L37*5</f>
        <v>30</v>
      </c>
      <c r="N37" s="62">
        <v>32</v>
      </c>
      <c r="O37" s="64" t="s">
        <v>385</v>
      </c>
      <c r="P37" s="65">
        <v>0.55530000000000002</v>
      </c>
      <c r="Q37" s="65">
        <f t="shared" ref="Q37" si="29">P37*N37</f>
        <v>17.769600000000001</v>
      </c>
      <c r="R37" s="66" t="s">
        <v>418</v>
      </c>
      <c r="S37" s="62"/>
    </row>
    <row r="38" spans="1:19" x14ac:dyDescent="0.25">
      <c r="A38" s="1"/>
      <c r="B38" s="44">
        <f>ROW(B38) - ROW($B$9)</f>
        <v>29</v>
      </c>
      <c r="C38" s="56" t="s">
        <v>387</v>
      </c>
      <c r="D38" s="58" t="s">
        <v>48</v>
      </c>
      <c r="E38" s="58" t="s">
        <v>110</v>
      </c>
      <c r="F38" s="58" t="s">
        <v>384</v>
      </c>
      <c r="G38" s="58" t="s">
        <v>215</v>
      </c>
      <c r="H38" s="58" t="s">
        <v>264</v>
      </c>
      <c r="I38" s="58" t="s">
        <v>372</v>
      </c>
      <c r="J38" s="58" t="s">
        <v>303</v>
      </c>
      <c r="K38" s="58" t="s">
        <v>372</v>
      </c>
      <c r="L38" s="58">
        <v>2</v>
      </c>
      <c r="M38" s="58">
        <f>L38*5</f>
        <v>10</v>
      </c>
      <c r="N38" s="58">
        <v>15</v>
      </c>
      <c r="O38" s="55" t="s">
        <v>385</v>
      </c>
      <c r="P38" s="59">
        <v>8.9399999999999993E-2</v>
      </c>
      <c r="Q38" s="59">
        <f>P38*N38</f>
        <v>1.341</v>
      </c>
      <c r="R38" s="57"/>
      <c r="S38" s="37"/>
    </row>
    <row r="39" spans="1:19" ht="36" x14ac:dyDescent="0.25">
      <c r="A39" s="1"/>
      <c r="B39" s="45">
        <f t="shared" si="0"/>
        <v>30</v>
      </c>
      <c r="C39" s="60" t="s">
        <v>16</v>
      </c>
      <c r="D39" s="61" t="s">
        <v>49</v>
      </c>
      <c r="E39" s="62" t="s">
        <v>111</v>
      </c>
      <c r="F39" s="62" t="s">
        <v>384</v>
      </c>
      <c r="G39" s="62" t="s">
        <v>169</v>
      </c>
      <c r="H39" s="62" t="s">
        <v>265</v>
      </c>
      <c r="I39" s="62" t="s">
        <v>372</v>
      </c>
      <c r="J39" s="62" t="s">
        <v>304</v>
      </c>
      <c r="K39" s="62" t="s">
        <v>372</v>
      </c>
      <c r="L39" s="62">
        <v>1</v>
      </c>
      <c r="M39" s="62">
        <f t="shared" ref="M39" si="30">L39*5</f>
        <v>5</v>
      </c>
      <c r="N39" s="62">
        <v>6</v>
      </c>
      <c r="O39" s="64" t="s">
        <v>385</v>
      </c>
      <c r="P39" s="65">
        <v>0.66820000000000002</v>
      </c>
      <c r="Q39" s="65">
        <f t="shared" ref="Q39" si="31">P39*N39</f>
        <v>4.0091999999999999</v>
      </c>
      <c r="R39" s="62"/>
      <c r="S39" s="62"/>
    </row>
    <row r="40" spans="1:19" ht="36" x14ac:dyDescent="0.25">
      <c r="A40" s="1"/>
      <c r="B40" s="44">
        <f>ROW(B40) - ROW($B$9)</f>
        <v>31</v>
      </c>
      <c r="C40" s="56" t="s">
        <v>17</v>
      </c>
      <c r="D40" s="58" t="s">
        <v>50</v>
      </c>
      <c r="E40" s="58" t="s">
        <v>112</v>
      </c>
      <c r="F40" s="58" t="s">
        <v>384</v>
      </c>
      <c r="G40" s="58" t="s">
        <v>170</v>
      </c>
      <c r="H40" s="58" t="s">
        <v>266</v>
      </c>
      <c r="I40" s="58" t="s">
        <v>372</v>
      </c>
      <c r="J40" s="58" t="s">
        <v>305</v>
      </c>
      <c r="K40" s="58" t="s">
        <v>372</v>
      </c>
      <c r="L40" s="58">
        <v>1</v>
      </c>
      <c r="M40" s="58">
        <f>L40*5</f>
        <v>5</v>
      </c>
      <c r="N40" s="58">
        <v>10</v>
      </c>
      <c r="O40" s="55" t="s">
        <v>385</v>
      </c>
      <c r="P40" s="59">
        <v>9.3600000000000003E-2</v>
      </c>
      <c r="Q40" s="59">
        <f>P40*N40</f>
        <v>0.93600000000000005</v>
      </c>
      <c r="R40" s="57"/>
      <c r="S40" s="37"/>
    </row>
    <row r="41" spans="1:19" ht="36" x14ac:dyDescent="0.25">
      <c r="A41" s="1"/>
      <c r="B41" s="45">
        <f t="shared" si="0"/>
        <v>32</v>
      </c>
      <c r="C41" s="60" t="s">
        <v>17</v>
      </c>
      <c r="D41" s="61" t="s">
        <v>51</v>
      </c>
      <c r="E41" s="62" t="s">
        <v>113</v>
      </c>
      <c r="F41" s="62" t="s">
        <v>384</v>
      </c>
      <c r="G41" s="62" t="s">
        <v>171</v>
      </c>
      <c r="H41" s="62" t="s">
        <v>266</v>
      </c>
      <c r="I41" s="62" t="s">
        <v>372</v>
      </c>
      <c r="J41" s="62" t="s">
        <v>372</v>
      </c>
      <c r="K41" s="62" t="s">
        <v>372</v>
      </c>
      <c r="L41" s="62">
        <v>1</v>
      </c>
      <c r="M41" s="62">
        <f t="shared" ref="M41" si="32">L41*5</f>
        <v>5</v>
      </c>
      <c r="N41" s="62">
        <v>10</v>
      </c>
      <c r="O41" s="64" t="s">
        <v>385</v>
      </c>
      <c r="P41" s="65" t="s">
        <v>372</v>
      </c>
      <c r="Q41" s="65" t="s">
        <v>372</v>
      </c>
      <c r="R41" s="66" t="s">
        <v>436</v>
      </c>
      <c r="S41" s="62"/>
    </row>
    <row r="42" spans="1:19" x14ac:dyDescent="0.25">
      <c r="A42" s="1"/>
      <c r="B42" s="44">
        <f>ROW(B42) - ROW($B$9)</f>
        <v>33</v>
      </c>
      <c r="C42" s="56" t="s">
        <v>18</v>
      </c>
      <c r="D42" s="58" t="s">
        <v>52</v>
      </c>
      <c r="E42" s="58" t="s">
        <v>114</v>
      </c>
      <c r="F42" s="58" t="s">
        <v>384</v>
      </c>
      <c r="G42" s="58" t="s">
        <v>172</v>
      </c>
      <c r="H42" s="58" t="s">
        <v>264</v>
      </c>
      <c r="I42" s="58" t="s">
        <v>372</v>
      </c>
      <c r="J42" s="58" t="s">
        <v>306</v>
      </c>
      <c r="K42" s="58" t="s">
        <v>372</v>
      </c>
      <c r="L42" s="58">
        <v>1</v>
      </c>
      <c r="M42" s="58">
        <f>L42*5</f>
        <v>5</v>
      </c>
      <c r="N42" s="58">
        <v>6</v>
      </c>
      <c r="O42" s="55" t="s">
        <v>385</v>
      </c>
      <c r="P42" s="59">
        <v>1.4222999999999999</v>
      </c>
      <c r="Q42" s="59">
        <f>P42*N42</f>
        <v>8.5337999999999994</v>
      </c>
      <c r="R42" s="57"/>
      <c r="S42" s="37"/>
    </row>
    <row r="43" spans="1:19" x14ac:dyDescent="0.25">
      <c r="A43" s="1"/>
      <c r="B43" s="45">
        <f t="shared" si="0"/>
        <v>34</v>
      </c>
      <c r="C43" s="60" t="s">
        <v>19</v>
      </c>
      <c r="D43" s="61" t="s">
        <v>53</v>
      </c>
      <c r="E43" s="62" t="s">
        <v>115</v>
      </c>
      <c r="F43" s="62" t="s">
        <v>384</v>
      </c>
      <c r="G43" s="62" t="s">
        <v>173</v>
      </c>
      <c r="H43" s="62" t="s">
        <v>267</v>
      </c>
      <c r="I43" s="62" t="s">
        <v>372</v>
      </c>
      <c r="J43" s="62" t="s">
        <v>307</v>
      </c>
      <c r="K43" s="62" t="s">
        <v>351</v>
      </c>
      <c r="L43" s="62">
        <v>1</v>
      </c>
      <c r="M43" s="62">
        <f t="shared" ref="M43" si="33">L43*5</f>
        <v>5</v>
      </c>
      <c r="N43" s="62">
        <v>10</v>
      </c>
      <c r="O43" s="64" t="s">
        <v>385</v>
      </c>
      <c r="P43" s="65">
        <v>0.19500000000000001</v>
      </c>
      <c r="Q43" s="65">
        <f t="shared" ref="Q43" si="34">P43*N43</f>
        <v>1.9500000000000002</v>
      </c>
      <c r="R43" s="62"/>
      <c r="S43" s="62"/>
    </row>
    <row r="44" spans="1:19" ht="36" x14ac:dyDescent="0.25">
      <c r="A44" s="1"/>
      <c r="B44" s="44">
        <f>ROW(B44) - ROW($B$9)</f>
        <v>35</v>
      </c>
      <c r="C44" s="56" t="s">
        <v>19</v>
      </c>
      <c r="D44" s="58" t="s">
        <v>54</v>
      </c>
      <c r="E44" s="58" t="s">
        <v>116</v>
      </c>
      <c r="F44" s="58" t="s">
        <v>384</v>
      </c>
      <c r="G44" s="58" t="s">
        <v>174</v>
      </c>
      <c r="H44" s="58" t="s">
        <v>268</v>
      </c>
      <c r="I44" s="58" t="s">
        <v>372</v>
      </c>
      <c r="J44" s="58" t="s">
        <v>308</v>
      </c>
      <c r="K44" s="58" t="s">
        <v>351</v>
      </c>
      <c r="L44" s="58">
        <v>1</v>
      </c>
      <c r="M44" s="58">
        <f>L44*5</f>
        <v>5</v>
      </c>
      <c r="N44" s="58">
        <v>6</v>
      </c>
      <c r="O44" s="55" t="s">
        <v>385</v>
      </c>
      <c r="P44" s="59">
        <v>0.35439999999999999</v>
      </c>
      <c r="Q44" s="59">
        <f>P44*N44</f>
        <v>2.1263999999999998</v>
      </c>
      <c r="R44" s="57"/>
      <c r="S44" s="37"/>
    </row>
    <row r="45" spans="1:19" x14ac:dyDescent="0.25">
      <c r="A45" s="1"/>
      <c r="B45" s="45">
        <f t="shared" si="0"/>
        <v>36</v>
      </c>
      <c r="C45" s="60" t="s">
        <v>19</v>
      </c>
      <c r="D45" s="61" t="s">
        <v>55</v>
      </c>
      <c r="E45" s="62" t="s">
        <v>117</v>
      </c>
      <c r="F45" s="62" t="s">
        <v>175</v>
      </c>
      <c r="G45" s="62" t="s">
        <v>216</v>
      </c>
      <c r="H45" s="62" t="s">
        <v>252</v>
      </c>
      <c r="I45" s="62" t="s">
        <v>372</v>
      </c>
      <c r="J45" s="62" t="s">
        <v>309</v>
      </c>
      <c r="K45" s="62" t="s">
        <v>352</v>
      </c>
      <c r="L45" s="62">
        <v>1</v>
      </c>
      <c r="M45" s="62">
        <f t="shared" ref="M45" si="35">L45*5</f>
        <v>5</v>
      </c>
      <c r="N45" s="62">
        <v>10</v>
      </c>
      <c r="O45" s="64" t="s">
        <v>385</v>
      </c>
      <c r="P45" s="65">
        <v>6.4600000000000005E-2</v>
      </c>
      <c r="Q45" s="65">
        <f t="shared" ref="Q45" si="36">P45*N45</f>
        <v>0.64600000000000002</v>
      </c>
      <c r="R45" s="62"/>
      <c r="S45" s="62"/>
    </row>
    <row r="46" spans="1:19" ht="24" x14ac:dyDescent="0.25">
      <c r="A46" s="1"/>
      <c r="B46" s="45">
        <f t="shared" si="0"/>
        <v>37</v>
      </c>
      <c r="C46" s="56" t="s">
        <v>20</v>
      </c>
      <c r="D46" s="58" t="s">
        <v>396</v>
      </c>
      <c r="E46" s="58" t="s">
        <v>118</v>
      </c>
      <c r="F46" s="58" t="s">
        <v>176</v>
      </c>
      <c r="G46" s="58" t="s">
        <v>217</v>
      </c>
      <c r="H46" s="58" t="s">
        <v>269</v>
      </c>
      <c r="I46" s="58" t="s">
        <v>372</v>
      </c>
      <c r="J46" s="58" t="s">
        <v>310</v>
      </c>
      <c r="K46" s="58" t="s">
        <v>353</v>
      </c>
      <c r="L46" s="58">
        <v>3</v>
      </c>
      <c r="M46" s="58">
        <f t="shared" ref="M46" si="37">L46*5</f>
        <v>15</v>
      </c>
      <c r="N46" s="58">
        <v>20</v>
      </c>
      <c r="O46" s="55" t="s">
        <v>385</v>
      </c>
      <c r="P46" s="59">
        <v>4.9099999999999998E-2</v>
      </c>
      <c r="Q46" s="59">
        <f t="shared" ref="Q46" si="38">P46*N46</f>
        <v>0.98199999999999998</v>
      </c>
      <c r="R46" s="57"/>
      <c r="S46" s="37"/>
    </row>
    <row r="47" spans="1:19" ht="24" x14ac:dyDescent="0.25">
      <c r="A47" s="1"/>
      <c r="B47" s="44">
        <f>ROW(B47) - ROW($B$9)</f>
        <v>38</v>
      </c>
      <c r="C47" s="60" t="s">
        <v>20</v>
      </c>
      <c r="D47" s="61" t="s">
        <v>397</v>
      </c>
      <c r="E47" s="62" t="s">
        <v>119</v>
      </c>
      <c r="F47" s="62" t="s">
        <v>176</v>
      </c>
      <c r="G47" s="62" t="s">
        <v>218</v>
      </c>
      <c r="H47" s="62" t="s">
        <v>269</v>
      </c>
      <c r="I47" s="62" t="s">
        <v>372</v>
      </c>
      <c r="J47" s="62" t="s">
        <v>311</v>
      </c>
      <c r="K47" s="62" t="s">
        <v>372</v>
      </c>
      <c r="L47" s="62">
        <v>4</v>
      </c>
      <c r="M47" s="62">
        <f>L47*5</f>
        <v>20</v>
      </c>
      <c r="N47" s="62">
        <v>40</v>
      </c>
      <c r="O47" s="64" t="s">
        <v>385</v>
      </c>
      <c r="P47" s="65">
        <v>3.2099999999999997E-2</v>
      </c>
      <c r="Q47" s="65">
        <f>P47*N47</f>
        <v>1.2839999999999998</v>
      </c>
      <c r="R47" s="62"/>
      <c r="S47" s="62"/>
    </row>
    <row r="48" spans="1:19" ht="30" x14ac:dyDescent="0.25">
      <c r="A48" s="1"/>
      <c r="B48" s="45">
        <f>ROW(B48) - ROW($B$9)</f>
        <v>39</v>
      </c>
      <c r="C48" s="56" t="s">
        <v>21</v>
      </c>
      <c r="D48" s="37" t="s">
        <v>56</v>
      </c>
      <c r="E48" s="37" t="s">
        <v>120</v>
      </c>
      <c r="F48" s="37" t="s">
        <v>177</v>
      </c>
      <c r="G48" s="37" t="s">
        <v>177</v>
      </c>
      <c r="H48" s="37" t="s">
        <v>270</v>
      </c>
      <c r="I48" s="58" t="s">
        <v>372</v>
      </c>
      <c r="J48" s="58" t="s">
        <v>372</v>
      </c>
      <c r="K48" s="58" t="s">
        <v>436</v>
      </c>
      <c r="L48" s="58">
        <v>1</v>
      </c>
      <c r="M48" s="58">
        <f t="shared" ref="M48" si="39">L48*5</f>
        <v>5</v>
      </c>
      <c r="N48" s="58">
        <v>6</v>
      </c>
      <c r="O48" s="64" t="s">
        <v>270</v>
      </c>
      <c r="P48" s="59"/>
      <c r="Q48" s="59" t="s">
        <v>372</v>
      </c>
      <c r="R48" s="57" t="s">
        <v>436</v>
      </c>
      <c r="S48" s="37"/>
    </row>
    <row r="49" spans="1:19" ht="30" x14ac:dyDescent="0.25">
      <c r="A49" s="1"/>
      <c r="B49" s="45">
        <f t="shared" si="0"/>
        <v>40</v>
      </c>
      <c r="C49" s="60" t="s">
        <v>21</v>
      </c>
      <c r="D49" s="62" t="s">
        <v>451</v>
      </c>
      <c r="E49" s="62" t="s">
        <v>120</v>
      </c>
      <c r="F49" s="62" t="s">
        <v>177</v>
      </c>
      <c r="G49" s="62" t="s">
        <v>177</v>
      </c>
      <c r="H49" s="62" t="s">
        <v>270</v>
      </c>
      <c r="I49" s="62"/>
      <c r="J49" s="62" t="s">
        <v>372</v>
      </c>
      <c r="K49" s="62" t="s">
        <v>372</v>
      </c>
      <c r="L49" s="62">
        <v>1</v>
      </c>
      <c r="M49" s="62">
        <f t="shared" ref="M49" si="40">L49*5</f>
        <v>5</v>
      </c>
      <c r="N49" s="62">
        <v>6</v>
      </c>
      <c r="O49" s="64" t="s">
        <v>270</v>
      </c>
      <c r="P49" s="65">
        <v>13.9</v>
      </c>
      <c r="Q49" s="65">
        <f t="shared" ref="Q49" si="41">P49*N49</f>
        <v>83.4</v>
      </c>
      <c r="R49" s="62"/>
      <c r="S49" s="62"/>
    </row>
    <row r="50" spans="1:19" x14ac:dyDescent="0.25">
      <c r="A50" s="1"/>
      <c r="B50" s="44">
        <f>ROW(B50) - ROW($B$9)</f>
        <v>41</v>
      </c>
      <c r="C50" s="67" t="s">
        <v>354</v>
      </c>
      <c r="D50" s="68" t="s">
        <v>57</v>
      </c>
      <c r="E50" s="68" t="s">
        <v>121</v>
      </c>
      <c r="F50" s="68" t="s">
        <v>178</v>
      </c>
      <c r="G50" s="68" t="s">
        <v>372</v>
      </c>
      <c r="H50" s="68" t="s">
        <v>372</v>
      </c>
      <c r="I50" s="68" t="s">
        <v>372</v>
      </c>
      <c r="J50" s="68" t="s">
        <v>372</v>
      </c>
      <c r="K50" s="68" t="s">
        <v>436</v>
      </c>
      <c r="L50" s="68">
        <v>6</v>
      </c>
      <c r="M50" s="68">
        <f>L50*5</f>
        <v>30</v>
      </c>
      <c r="N50" s="68" t="s">
        <v>372</v>
      </c>
      <c r="O50" s="69" t="s">
        <v>372</v>
      </c>
      <c r="P50" s="70" t="s">
        <v>372</v>
      </c>
      <c r="Q50" s="70" t="s">
        <v>372</v>
      </c>
      <c r="R50" s="88" t="s">
        <v>436</v>
      </c>
      <c r="S50" s="68"/>
    </row>
    <row r="51" spans="1:19" ht="48" x14ac:dyDescent="0.25">
      <c r="A51" s="1"/>
      <c r="B51" s="45">
        <f t="shared" si="0"/>
        <v>42</v>
      </c>
      <c r="C51" s="60" t="s">
        <v>22</v>
      </c>
      <c r="D51" s="61" t="s">
        <v>58</v>
      </c>
      <c r="E51" s="62" t="s">
        <v>122</v>
      </c>
      <c r="F51" s="62" t="s">
        <v>179</v>
      </c>
      <c r="G51" s="62" t="s">
        <v>219</v>
      </c>
      <c r="H51" s="62" t="s">
        <v>271</v>
      </c>
      <c r="I51" s="62" t="s">
        <v>372</v>
      </c>
      <c r="J51" s="62" t="s">
        <v>312</v>
      </c>
      <c r="K51" s="62" t="s">
        <v>372</v>
      </c>
      <c r="L51" s="62">
        <v>4</v>
      </c>
      <c r="M51" s="62">
        <f t="shared" ref="M51" si="42">L51*5</f>
        <v>20</v>
      </c>
      <c r="N51" s="62">
        <v>40</v>
      </c>
      <c r="O51" s="64" t="s">
        <v>385</v>
      </c>
      <c r="P51" s="65">
        <v>3.2899999999999999E-2</v>
      </c>
      <c r="Q51" s="65">
        <f t="shared" ref="Q51" si="43">P51*N51</f>
        <v>1.3159999999999998</v>
      </c>
      <c r="R51" s="62"/>
      <c r="S51" s="62"/>
    </row>
    <row r="52" spans="1:19" x14ac:dyDescent="0.25">
      <c r="A52" s="1"/>
      <c r="B52" s="44">
        <f>ROW(B52) - ROW($B$9)</f>
        <v>43</v>
      </c>
      <c r="C52" s="56" t="s">
        <v>23</v>
      </c>
      <c r="D52" s="58" t="s">
        <v>59</v>
      </c>
      <c r="E52" s="58" t="s">
        <v>123</v>
      </c>
      <c r="F52" s="58" t="s">
        <v>180</v>
      </c>
      <c r="G52" s="58" t="s">
        <v>220</v>
      </c>
      <c r="H52" s="58" t="s">
        <v>249</v>
      </c>
      <c r="I52" s="58" t="s">
        <v>391</v>
      </c>
      <c r="J52" s="58" t="s">
        <v>313</v>
      </c>
      <c r="K52" s="58" t="s">
        <v>355</v>
      </c>
      <c r="L52" s="58">
        <v>1</v>
      </c>
      <c r="M52" s="58">
        <f>L52*5</f>
        <v>5</v>
      </c>
      <c r="N52" s="58">
        <v>20</v>
      </c>
      <c r="O52" s="55" t="s">
        <v>385</v>
      </c>
      <c r="P52" s="59">
        <v>2.7699999999999999E-2</v>
      </c>
      <c r="Q52" s="59">
        <f>P52*N52</f>
        <v>0.55399999999999994</v>
      </c>
      <c r="R52" s="57"/>
      <c r="S52" s="37"/>
    </row>
    <row r="53" spans="1:19" x14ac:dyDescent="0.25">
      <c r="A53" s="1"/>
      <c r="B53" s="45">
        <f t="shared" si="0"/>
        <v>44</v>
      </c>
      <c r="C53" s="60" t="s">
        <v>23</v>
      </c>
      <c r="D53" s="61" t="s">
        <v>60</v>
      </c>
      <c r="E53" s="62" t="s">
        <v>124</v>
      </c>
      <c r="F53" s="62" t="s">
        <v>180</v>
      </c>
      <c r="G53" s="62" t="s">
        <v>221</v>
      </c>
      <c r="H53" s="62" t="s">
        <v>249</v>
      </c>
      <c r="I53" s="62" t="s">
        <v>372</v>
      </c>
      <c r="J53" s="62" t="s">
        <v>314</v>
      </c>
      <c r="K53" s="62" t="s">
        <v>374</v>
      </c>
      <c r="L53" s="62">
        <v>1</v>
      </c>
      <c r="M53" s="62">
        <f t="shared" ref="M53" si="44">L53*5</f>
        <v>5</v>
      </c>
      <c r="N53" s="62">
        <v>20</v>
      </c>
      <c r="O53" s="64" t="s">
        <v>385</v>
      </c>
      <c r="P53" s="65">
        <v>2.18E-2</v>
      </c>
      <c r="Q53" s="65">
        <f t="shared" ref="Q53" si="45">P53*N53</f>
        <v>0.436</v>
      </c>
      <c r="R53" s="62"/>
      <c r="S53" s="62"/>
    </row>
    <row r="54" spans="1:19" ht="24" x14ac:dyDescent="0.25">
      <c r="A54" s="1"/>
      <c r="B54" s="44">
        <f>ROW(B54) - ROW($B$9)</f>
        <v>45</v>
      </c>
      <c r="C54" s="56" t="s">
        <v>23</v>
      </c>
      <c r="D54" s="58" t="s">
        <v>452</v>
      </c>
      <c r="E54" s="58" t="s">
        <v>125</v>
      </c>
      <c r="F54" s="58" t="s">
        <v>180</v>
      </c>
      <c r="G54" s="58" t="s">
        <v>222</v>
      </c>
      <c r="H54" s="58" t="s">
        <v>249</v>
      </c>
      <c r="I54" s="58" t="s">
        <v>372</v>
      </c>
      <c r="J54" s="58" t="s">
        <v>315</v>
      </c>
      <c r="K54" s="58" t="s">
        <v>356</v>
      </c>
      <c r="L54" s="58">
        <v>14</v>
      </c>
      <c r="M54" s="58">
        <f>L54*5</f>
        <v>70</v>
      </c>
      <c r="N54" s="58">
        <v>100</v>
      </c>
      <c r="O54" s="55" t="s">
        <v>385</v>
      </c>
      <c r="P54" s="59">
        <v>1E-3</v>
      </c>
      <c r="Q54" s="59">
        <f>P54*N54</f>
        <v>0.1</v>
      </c>
      <c r="R54" s="57"/>
      <c r="S54" s="37"/>
    </row>
    <row r="55" spans="1:19" x14ac:dyDescent="0.25">
      <c r="A55" s="1"/>
      <c r="B55" s="45">
        <f t="shared" si="0"/>
        <v>46</v>
      </c>
      <c r="C55" s="60" t="s">
        <v>23</v>
      </c>
      <c r="D55" s="61" t="s">
        <v>61</v>
      </c>
      <c r="E55" s="62" t="s">
        <v>126</v>
      </c>
      <c r="F55" s="62" t="s">
        <v>180</v>
      </c>
      <c r="G55" s="62" t="s">
        <v>223</v>
      </c>
      <c r="H55" s="62" t="s">
        <v>249</v>
      </c>
      <c r="I55" s="62" t="s">
        <v>372</v>
      </c>
      <c r="J55" s="62" t="s">
        <v>316</v>
      </c>
      <c r="K55" s="62" t="s">
        <v>357</v>
      </c>
      <c r="L55" s="62">
        <v>1</v>
      </c>
      <c r="M55" s="62">
        <f t="shared" ref="M55" si="46">L55*5</f>
        <v>5</v>
      </c>
      <c r="N55" s="62">
        <v>20</v>
      </c>
      <c r="O55" s="64" t="s">
        <v>385</v>
      </c>
      <c r="P55" s="65">
        <v>2.81E-2</v>
      </c>
      <c r="Q55" s="65">
        <f t="shared" ref="Q55" si="47">P55*N55</f>
        <v>0.56200000000000006</v>
      </c>
      <c r="R55" s="62"/>
      <c r="S55" s="62"/>
    </row>
    <row r="56" spans="1:19" x14ac:dyDescent="0.25">
      <c r="A56" s="1"/>
      <c r="B56" s="44">
        <f>ROW(B56) - ROW($B$9)</f>
        <v>47</v>
      </c>
      <c r="C56" s="56" t="s">
        <v>23</v>
      </c>
      <c r="D56" s="58" t="s">
        <v>62</v>
      </c>
      <c r="E56" s="58" t="s">
        <v>127</v>
      </c>
      <c r="F56" s="58" t="s">
        <v>180</v>
      </c>
      <c r="G56" s="58" t="s">
        <v>224</v>
      </c>
      <c r="H56" s="58" t="s">
        <v>249</v>
      </c>
      <c r="I56" s="58" t="s">
        <v>372</v>
      </c>
      <c r="J56" s="58" t="s">
        <v>317</v>
      </c>
      <c r="K56" s="58" t="s">
        <v>358</v>
      </c>
      <c r="L56" s="58">
        <v>1</v>
      </c>
      <c r="M56" s="58">
        <f>L56*5</f>
        <v>5</v>
      </c>
      <c r="N56" s="58">
        <v>20</v>
      </c>
      <c r="O56" s="55" t="s">
        <v>385</v>
      </c>
      <c r="P56" s="59">
        <v>3.2300000000000002E-2</v>
      </c>
      <c r="Q56" s="59">
        <f>P56*N56</f>
        <v>0.64600000000000002</v>
      </c>
      <c r="R56" s="57"/>
      <c r="S56" s="37"/>
    </row>
    <row r="57" spans="1:19" x14ac:dyDescent="0.25">
      <c r="A57" s="1"/>
      <c r="B57" s="45">
        <f t="shared" si="0"/>
        <v>48</v>
      </c>
      <c r="C57" s="60" t="s">
        <v>23</v>
      </c>
      <c r="D57" s="61" t="s">
        <v>63</v>
      </c>
      <c r="E57" s="62" t="s">
        <v>128</v>
      </c>
      <c r="F57" s="62" t="s">
        <v>180</v>
      </c>
      <c r="G57" s="62" t="s">
        <v>225</v>
      </c>
      <c r="H57" s="62" t="s">
        <v>249</v>
      </c>
      <c r="I57" s="62" t="s">
        <v>372</v>
      </c>
      <c r="J57" s="62" t="s">
        <v>318</v>
      </c>
      <c r="K57" s="62" t="s">
        <v>359</v>
      </c>
      <c r="L57" s="62">
        <v>2</v>
      </c>
      <c r="M57" s="62">
        <f t="shared" ref="M57" si="48">L57*5</f>
        <v>10</v>
      </c>
      <c r="N57" s="62">
        <v>100</v>
      </c>
      <c r="O57" s="64" t="s">
        <v>385</v>
      </c>
      <c r="P57" s="65">
        <v>1.1999999999999999E-3</v>
      </c>
      <c r="Q57" s="65">
        <f t="shared" ref="Q57" si="49">P57*N57</f>
        <v>0.12</v>
      </c>
      <c r="R57" s="62"/>
      <c r="S57" s="62"/>
    </row>
    <row r="58" spans="1:19" x14ac:dyDescent="0.25">
      <c r="A58" s="1"/>
      <c r="B58" s="44">
        <f>ROW(B58) - ROW($B$9)</f>
        <v>49</v>
      </c>
      <c r="C58" s="56" t="s">
        <v>23</v>
      </c>
      <c r="D58" s="58" t="s">
        <v>64</v>
      </c>
      <c r="E58" s="58" t="s">
        <v>129</v>
      </c>
      <c r="F58" s="58" t="s">
        <v>180</v>
      </c>
      <c r="G58" s="58" t="s">
        <v>226</v>
      </c>
      <c r="H58" s="58" t="s">
        <v>249</v>
      </c>
      <c r="I58" s="58" t="s">
        <v>372</v>
      </c>
      <c r="J58" s="58" t="s">
        <v>319</v>
      </c>
      <c r="K58" s="58" t="s">
        <v>360</v>
      </c>
      <c r="L58" s="58">
        <v>3</v>
      </c>
      <c r="M58" s="58">
        <f>L58*5</f>
        <v>15</v>
      </c>
      <c r="N58" s="58">
        <v>100</v>
      </c>
      <c r="O58" s="55" t="s">
        <v>385</v>
      </c>
      <c r="P58" s="59">
        <v>1.2999999999999999E-3</v>
      </c>
      <c r="Q58" s="59">
        <f>P58*N58</f>
        <v>0.13</v>
      </c>
      <c r="R58" s="57"/>
      <c r="S58" s="37"/>
    </row>
    <row r="59" spans="1:19" x14ac:dyDescent="0.25">
      <c r="A59" s="1"/>
      <c r="B59" s="45">
        <f t="shared" si="0"/>
        <v>50</v>
      </c>
      <c r="C59" s="60" t="s">
        <v>23</v>
      </c>
      <c r="D59" s="61" t="s">
        <v>65</v>
      </c>
      <c r="E59" s="62" t="s">
        <v>130</v>
      </c>
      <c r="F59" s="62" t="s">
        <v>180</v>
      </c>
      <c r="G59" s="62" t="s">
        <v>227</v>
      </c>
      <c r="H59" s="62" t="s">
        <v>249</v>
      </c>
      <c r="I59" s="62" t="s">
        <v>372</v>
      </c>
      <c r="J59" s="62" t="s">
        <v>320</v>
      </c>
      <c r="K59" s="62" t="s">
        <v>361</v>
      </c>
      <c r="L59" s="62">
        <v>4</v>
      </c>
      <c r="M59" s="62">
        <f t="shared" ref="M59" si="50">L59*5</f>
        <v>20</v>
      </c>
      <c r="N59" s="62">
        <v>50</v>
      </c>
      <c r="O59" s="64" t="s">
        <v>385</v>
      </c>
      <c r="P59" s="65">
        <v>9.2999999999999992E-3</v>
      </c>
      <c r="Q59" s="65">
        <f t="shared" ref="Q59" si="51">P59*N59</f>
        <v>0.46499999999999997</v>
      </c>
      <c r="R59" s="62"/>
      <c r="S59" s="62"/>
    </row>
    <row r="60" spans="1:19" x14ac:dyDescent="0.25">
      <c r="A60" s="1"/>
      <c r="B60" s="44">
        <f>ROW(B60) - ROW($B$9)</f>
        <v>51</v>
      </c>
      <c r="C60" s="56" t="s">
        <v>23</v>
      </c>
      <c r="D60" s="58" t="s">
        <v>66</v>
      </c>
      <c r="E60" s="58" t="s">
        <v>131</v>
      </c>
      <c r="F60" s="58" t="s">
        <v>180</v>
      </c>
      <c r="G60" s="58" t="s">
        <v>228</v>
      </c>
      <c r="H60" s="58" t="s">
        <v>249</v>
      </c>
      <c r="I60" s="58" t="s">
        <v>372</v>
      </c>
      <c r="J60" s="58" t="s">
        <v>321</v>
      </c>
      <c r="K60" s="58" t="s">
        <v>362</v>
      </c>
      <c r="L60" s="58">
        <v>1</v>
      </c>
      <c r="M60" s="58">
        <f>L60*5</f>
        <v>5</v>
      </c>
      <c r="N60" s="58">
        <v>100</v>
      </c>
      <c r="O60" s="55" t="s">
        <v>385</v>
      </c>
      <c r="P60" s="59">
        <v>3.0000000000000001E-3</v>
      </c>
      <c r="Q60" s="59">
        <f>P60*N60</f>
        <v>0.3</v>
      </c>
      <c r="R60" s="57"/>
      <c r="S60" s="37"/>
    </row>
    <row r="61" spans="1:19" x14ac:dyDescent="0.25">
      <c r="A61" s="1"/>
      <c r="B61" s="45">
        <f t="shared" si="0"/>
        <v>52</v>
      </c>
      <c r="C61" s="60" t="s">
        <v>23</v>
      </c>
      <c r="D61" s="61" t="s">
        <v>67</v>
      </c>
      <c r="E61" s="62" t="s">
        <v>132</v>
      </c>
      <c r="F61" s="62" t="s">
        <v>180</v>
      </c>
      <c r="G61" s="62" t="s">
        <v>229</v>
      </c>
      <c r="H61" s="62" t="s">
        <v>249</v>
      </c>
      <c r="I61" s="62" t="s">
        <v>372</v>
      </c>
      <c r="J61" s="62" t="s">
        <v>322</v>
      </c>
      <c r="K61" s="62" t="s">
        <v>363</v>
      </c>
      <c r="L61" s="62">
        <v>3</v>
      </c>
      <c r="M61" s="62">
        <f t="shared" ref="M61" si="52">L61*5</f>
        <v>15</v>
      </c>
      <c r="N61" s="62">
        <v>100</v>
      </c>
      <c r="O61" s="64" t="s">
        <v>385</v>
      </c>
      <c r="P61" s="65">
        <v>1.1999999999999999E-3</v>
      </c>
      <c r="Q61" s="65">
        <f t="shared" ref="Q61" si="53">P61*N61</f>
        <v>0.12</v>
      </c>
      <c r="R61" s="62"/>
      <c r="S61" s="62"/>
    </row>
    <row r="62" spans="1:19" x14ac:dyDescent="0.25">
      <c r="A62" s="1"/>
      <c r="B62" s="44">
        <f>ROW(B62) - ROW($B$9)</f>
        <v>53</v>
      </c>
      <c r="C62" s="56" t="s">
        <v>23</v>
      </c>
      <c r="D62" s="58" t="s">
        <v>68</v>
      </c>
      <c r="E62" s="58" t="s">
        <v>133</v>
      </c>
      <c r="F62" s="58" t="s">
        <v>180</v>
      </c>
      <c r="G62" s="58" t="s">
        <v>230</v>
      </c>
      <c r="H62" s="58" t="s">
        <v>249</v>
      </c>
      <c r="I62" s="58" t="s">
        <v>372</v>
      </c>
      <c r="J62" s="58" t="s">
        <v>323</v>
      </c>
      <c r="K62" s="58" t="s">
        <v>364</v>
      </c>
      <c r="L62" s="58">
        <v>6</v>
      </c>
      <c r="M62" s="58">
        <f>L62*5</f>
        <v>30</v>
      </c>
      <c r="N62" s="58">
        <v>100</v>
      </c>
      <c r="O62" s="55" t="s">
        <v>385</v>
      </c>
      <c r="P62" s="59">
        <v>1.1000000000000001E-3</v>
      </c>
      <c r="Q62" s="59">
        <f>P62*N62</f>
        <v>0.11</v>
      </c>
      <c r="R62" s="57"/>
      <c r="S62" s="37"/>
    </row>
    <row r="63" spans="1:19" x14ac:dyDescent="0.25">
      <c r="A63" s="1"/>
      <c r="B63" s="45">
        <f t="shared" si="0"/>
        <v>54</v>
      </c>
      <c r="C63" s="60" t="s">
        <v>23</v>
      </c>
      <c r="D63" s="61" t="s">
        <v>69</v>
      </c>
      <c r="E63" s="62" t="s">
        <v>134</v>
      </c>
      <c r="F63" s="62" t="s">
        <v>180</v>
      </c>
      <c r="G63" s="62" t="s">
        <v>231</v>
      </c>
      <c r="H63" s="62" t="s">
        <v>249</v>
      </c>
      <c r="I63" s="62" t="s">
        <v>372</v>
      </c>
      <c r="J63" s="62" t="s">
        <v>324</v>
      </c>
      <c r="K63" s="62" t="s">
        <v>365</v>
      </c>
      <c r="L63" s="62">
        <v>4</v>
      </c>
      <c r="M63" s="62">
        <f t="shared" ref="M63" si="54">L63*5</f>
        <v>20</v>
      </c>
      <c r="N63" s="62">
        <v>100</v>
      </c>
      <c r="O63" s="64" t="s">
        <v>385</v>
      </c>
      <c r="P63" s="65">
        <v>1E-3</v>
      </c>
      <c r="Q63" s="65">
        <f t="shared" ref="Q63" si="55">P63*N63</f>
        <v>0.1</v>
      </c>
      <c r="R63" s="62"/>
      <c r="S63" s="62"/>
    </row>
    <row r="64" spans="1:19" x14ac:dyDescent="0.25">
      <c r="A64" s="1"/>
      <c r="B64" s="44">
        <f>ROW(B64) - ROW($B$9)</f>
        <v>55</v>
      </c>
      <c r="C64" s="56" t="s">
        <v>23</v>
      </c>
      <c r="D64" s="58" t="s">
        <v>70</v>
      </c>
      <c r="E64" s="58" t="s">
        <v>135</v>
      </c>
      <c r="F64" s="58" t="s">
        <v>180</v>
      </c>
      <c r="G64" s="58" t="s">
        <v>232</v>
      </c>
      <c r="H64" s="58" t="s">
        <v>249</v>
      </c>
      <c r="I64" s="58" t="s">
        <v>372</v>
      </c>
      <c r="J64" s="58" t="s">
        <v>325</v>
      </c>
      <c r="K64" s="58" t="s">
        <v>366</v>
      </c>
      <c r="L64" s="58">
        <v>1</v>
      </c>
      <c r="M64" s="58">
        <f>L64*5</f>
        <v>5</v>
      </c>
      <c r="N64" s="58">
        <v>100</v>
      </c>
      <c r="O64" s="55" t="s">
        <v>385</v>
      </c>
      <c r="P64" s="59">
        <v>1.2999999999999999E-3</v>
      </c>
      <c r="Q64" s="59">
        <f>P64*N64</f>
        <v>0.13</v>
      </c>
      <c r="R64" s="57"/>
      <c r="S64" s="37"/>
    </row>
    <row r="65" spans="1:19" x14ac:dyDescent="0.25">
      <c r="A65" s="1"/>
      <c r="B65" s="45">
        <f t="shared" si="0"/>
        <v>56</v>
      </c>
      <c r="C65" s="60" t="s">
        <v>23</v>
      </c>
      <c r="D65" s="61" t="s">
        <v>71</v>
      </c>
      <c r="E65" s="62" t="s">
        <v>136</v>
      </c>
      <c r="F65" s="62" t="s">
        <v>180</v>
      </c>
      <c r="G65" s="62" t="s">
        <v>233</v>
      </c>
      <c r="H65" s="62" t="s">
        <v>249</v>
      </c>
      <c r="I65" s="62" t="s">
        <v>372</v>
      </c>
      <c r="J65" s="62" t="s">
        <v>326</v>
      </c>
      <c r="K65" s="62" t="s">
        <v>367</v>
      </c>
      <c r="L65" s="62">
        <v>3</v>
      </c>
      <c r="M65" s="62">
        <f t="shared" ref="M65" si="56">L65*5</f>
        <v>15</v>
      </c>
      <c r="N65" s="62">
        <v>100</v>
      </c>
      <c r="O65" s="64" t="s">
        <v>385</v>
      </c>
      <c r="P65" s="65">
        <v>1.2999999999999999E-3</v>
      </c>
      <c r="Q65" s="65">
        <f t="shared" ref="Q65" si="57">P65*N65</f>
        <v>0.13</v>
      </c>
      <c r="R65" s="62"/>
      <c r="S65" s="62"/>
    </row>
    <row r="66" spans="1:19" x14ac:dyDescent="0.25">
      <c r="A66" s="1"/>
      <c r="B66" s="44">
        <f>ROW(B66) - ROW($B$9)</f>
        <v>57</v>
      </c>
      <c r="C66" s="56" t="s">
        <v>23</v>
      </c>
      <c r="D66" s="58" t="s">
        <v>72</v>
      </c>
      <c r="E66" s="58" t="s">
        <v>137</v>
      </c>
      <c r="F66" s="58" t="s">
        <v>180</v>
      </c>
      <c r="G66" s="58" t="s">
        <v>234</v>
      </c>
      <c r="H66" s="58" t="s">
        <v>249</v>
      </c>
      <c r="I66" s="58" t="s">
        <v>372</v>
      </c>
      <c r="J66" s="58" t="s">
        <v>327</v>
      </c>
      <c r="K66" s="58" t="s">
        <v>368</v>
      </c>
      <c r="L66" s="58">
        <v>1</v>
      </c>
      <c r="M66" s="58">
        <f>L66*5</f>
        <v>5</v>
      </c>
      <c r="N66" s="58">
        <v>100</v>
      </c>
      <c r="O66" s="55" t="s">
        <v>385</v>
      </c>
      <c r="P66" s="59">
        <v>1.8E-3</v>
      </c>
      <c r="Q66" s="59">
        <f>P66*N66</f>
        <v>0.18</v>
      </c>
      <c r="R66" s="57"/>
      <c r="S66" s="37"/>
    </row>
    <row r="67" spans="1:19" x14ac:dyDescent="0.25">
      <c r="A67" s="1"/>
      <c r="B67" s="45">
        <f t="shared" si="0"/>
        <v>58</v>
      </c>
      <c r="C67" s="60" t="s">
        <v>23</v>
      </c>
      <c r="D67" s="61" t="s">
        <v>73</v>
      </c>
      <c r="E67" s="62" t="s">
        <v>138</v>
      </c>
      <c r="F67" s="62" t="s">
        <v>180</v>
      </c>
      <c r="G67" s="62" t="s">
        <v>235</v>
      </c>
      <c r="H67" s="62" t="s">
        <v>249</v>
      </c>
      <c r="I67" s="62" t="s">
        <v>372</v>
      </c>
      <c r="J67" s="62" t="s">
        <v>328</v>
      </c>
      <c r="K67" s="62" t="s">
        <v>369</v>
      </c>
      <c r="L67" s="62">
        <v>1</v>
      </c>
      <c r="M67" s="62">
        <f t="shared" ref="M67" si="58">L67*5</f>
        <v>5</v>
      </c>
      <c r="N67" s="62">
        <v>100</v>
      </c>
      <c r="O67" s="64" t="s">
        <v>385</v>
      </c>
      <c r="P67" s="65">
        <v>1.2999999999999999E-3</v>
      </c>
      <c r="Q67" s="65">
        <f t="shared" ref="Q67" si="59">P67*N67</f>
        <v>0.13</v>
      </c>
      <c r="R67" s="62"/>
      <c r="S67" s="62"/>
    </row>
    <row r="68" spans="1:19" x14ac:dyDescent="0.25">
      <c r="A68" s="1"/>
      <c r="B68" s="44">
        <f>ROW(B68) - ROW($B$9)</f>
        <v>59</v>
      </c>
      <c r="C68" s="56" t="s">
        <v>23</v>
      </c>
      <c r="D68" s="58" t="s">
        <v>74</v>
      </c>
      <c r="E68" s="58" t="s">
        <v>139</v>
      </c>
      <c r="F68" s="58" t="s">
        <v>181</v>
      </c>
      <c r="G68" s="58" t="s">
        <v>236</v>
      </c>
      <c r="H68" s="58" t="s">
        <v>249</v>
      </c>
      <c r="I68" s="58" t="s">
        <v>372</v>
      </c>
      <c r="J68" s="58" t="s">
        <v>392</v>
      </c>
      <c r="K68" s="58" t="s">
        <v>363</v>
      </c>
      <c r="L68" s="58">
        <v>1</v>
      </c>
      <c r="M68" s="58">
        <f>L68*5</f>
        <v>5</v>
      </c>
      <c r="N68" s="58">
        <v>100</v>
      </c>
      <c r="O68" s="55" t="s">
        <v>385</v>
      </c>
      <c r="P68" s="59">
        <v>6.9999999999999999E-4</v>
      </c>
      <c r="Q68" s="59">
        <f>P68*N68</f>
        <v>6.9999999999999993E-2</v>
      </c>
      <c r="R68" s="57"/>
      <c r="S68" s="37"/>
    </row>
    <row r="69" spans="1:19" x14ac:dyDescent="0.25">
      <c r="A69" s="1"/>
      <c r="B69" s="45">
        <f t="shared" si="0"/>
        <v>60</v>
      </c>
      <c r="C69" s="60" t="s">
        <v>23</v>
      </c>
      <c r="D69" s="61" t="s">
        <v>75</v>
      </c>
      <c r="E69" s="62" t="s">
        <v>140</v>
      </c>
      <c r="F69" s="62" t="s">
        <v>181</v>
      </c>
      <c r="G69" s="62" t="s">
        <v>237</v>
      </c>
      <c r="H69" s="62" t="s">
        <v>249</v>
      </c>
      <c r="I69" s="62" t="s">
        <v>372</v>
      </c>
      <c r="J69" s="62" t="s">
        <v>373</v>
      </c>
      <c r="K69" s="62" t="s">
        <v>370</v>
      </c>
      <c r="L69" s="62">
        <v>1</v>
      </c>
      <c r="M69" s="62">
        <f t="shared" ref="M69" si="60">L69*5</f>
        <v>5</v>
      </c>
      <c r="N69" s="62">
        <v>100</v>
      </c>
      <c r="O69" s="64" t="s">
        <v>385</v>
      </c>
      <c r="P69" s="65">
        <v>5.0000000000000001E-4</v>
      </c>
      <c r="Q69" s="65">
        <f t="shared" ref="Q69" si="61">P69*N69</f>
        <v>0.05</v>
      </c>
      <c r="R69" s="62"/>
      <c r="S69" s="62"/>
    </row>
    <row r="70" spans="1:19" ht="24" x14ac:dyDescent="0.25">
      <c r="A70" s="1"/>
      <c r="B70" s="44">
        <f>ROW(B70) - ROW($B$9)</f>
        <v>61</v>
      </c>
      <c r="C70" s="56" t="s">
        <v>23</v>
      </c>
      <c r="D70" s="37" t="s">
        <v>453</v>
      </c>
      <c r="E70" s="37" t="s">
        <v>454</v>
      </c>
      <c r="F70" s="37" t="s">
        <v>455</v>
      </c>
      <c r="G70" s="37" t="s">
        <v>456</v>
      </c>
      <c r="H70" s="37" t="s">
        <v>457</v>
      </c>
      <c r="I70" s="37" t="s">
        <v>372</v>
      </c>
      <c r="J70" s="37" t="s">
        <v>458</v>
      </c>
      <c r="K70" s="37" t="s">
        <v>459</v>
      </c>
      <c r="L70" s="37">
        <v>1</v>
      </c>
      <c r="M70" s="37">
        <f>L70*5</f>
        <v>5</v>
      </c>
      <c r="N70" s="37">
        <v>10</v>
      </c>
      <c r="O70" s="55" t="s">
        <v>385</v>
      </c>
      <c r="P70" s="72">
        <v>5.8099999999999999E-2</v>
      </c>
      <c r="Q70" s="72">
        <f>P70*N70</f>
        <v>0.58099999999999996</v>
      </c>
      <c r="R70" s="37"/>
      <c r="S70" s="74"/>
    </row>
    <row r="71" spans="1:19" x14ac:dyDescent="0.25">
      <c r="A71" s="1"/>
      <c r="B71" s="45">
        <f t="shared" ref="B71" si="62">ROW(B71) - ROW($B$9)</f>
        <v>62</v>
      </c>
      <c r="C71" s="60" t="s">
        <v>23</v>
      </c>
      <c r="D71" s="62" t="s">
        <v>460</v>
      </c>
      <c r="E71" s="62" t="s">
        <v>461</v>
      </c>
      <c r="F71" s="62" t="s">
        <v>180</v>
      </c>
      <c r="G71" s="62" t="s">
        <v>462</v>
      </c>
      <c r="H71" s="62" t="s">
        <v>249</v>
      </c>
      <c r="I71" s="62" t="s">
        <v>372</v>
      </c>
      <c r="J71" s="62" t="s">
        <v>463</v>
      </c>
      <c r="K71" s="62" t="s">
        <v>464</v>
      </c>
      <c r="L71" s="62">
        <v>2</v>
      </c>
      <c r="M71" s="62">
        <f t="shared" ref="M71" si="63">L71*5</f>
        <v>10</v>
      </c>
      <c r="N71" s="62">
        <v>100</v>
      </c>
      <c r="O71" s="64" t="s">
        <v>385</v>
      </c>
      <c r="P71" s="65">
        <v>1.1999999999999999E-3</v>
      </c>
      <c r="Q71" s="65">
        <f t="shared" ref="Q71" si="64">P71*N71</f>
        <v>0.12</v>
      </c>
      <c r="R71" s="62"/>
      <c r="S71" s="74"/>
    </row>
    <row r="72" spans="1:19" x14ac:dyDescent="0.25">
      <c r="A72" s="1"/>
      <c r="B72" s="44">
        <f>ROW(B72) - ROW($B$9)</f>
        <v>63</v>
      </c>
      <c r="C72" s="67" t="s">
        <v>388</v>
      </c>
      <c r="D72" s="68" t="s">
        <v>76</v>
      </c>
      <c r="E72" s="68" t="s">
        <v>141</v>
      </c>
      <c r="F72" s="68" t="s">
        <v>372</v>
      </c>
      <c r="G72" s="68" t="s">
        <v>182</v>
      </c>
      <c r="H72" s="68" t="s">
        <v>372</v>
      </c>
      <c r="I72" s="68" t="s">
        <v>372</v>
      </c>
      <c r="J72" s="68" t="s">
        <v>372</v>
      </c>
      <c r="K72" s="68" t="s">
        <v>372</v>
      </c>
      <c r="L72" s="68">
        <v>2</v>
      </c>
      <c r="M72" s="68">
        <f>L72*5</f>
        <v>10</v>
      </c>
      <c r="N72" s="68" t="s">
        <v>372</v>
      </c>
      <c r="O72" s="69" t="s">
        <v>372</v>
      </c>
      <c r="P72" s="70" t="s">
        <v>372</v>
      </c>
      <c r="Q72" s="70" t="s">
        <v>372</v>
      </c>
      <c r="R72" s="68"/>
      <c r="S72" s="68"/>
    </row>
    <row r="73" spans="1:19" x14ac:dyDescent="0.25">
      <c r="A73" s="1"/>
      <c r="B73" s="45">
        <f t="shared" si="0"/>
        <v>64</v>
      </c>
      <c r="C73" s="60" t="s">
        <v>389</v>
      </c>
      <c r="D73" s="61" t="s">
        <v>77</v>
      </c>
      <c r="E73" s="62" t="s">
        <v>142</v>
      </c>
      <c r="F73" s="62" t="s">
        <v>372</v>
      </c>
      <c r="G73" s="62" t="s">
        <v>238</v>
      </c>
      <c r="H73" s="62" t="s">
        <v>272</v>
      </c>
      <c r="I73" s="62" t="s">
        <v>372</v>
      </c>
      <c r="J73" s="62" t="s">
        <v>329</v>
      </c>
      <c r="K73" s="62" t="s">
        <v>372</v>
      </c>
      <c r="L73" s="62">
        <v>1</v>
      </c>
      <c r="M73" s="62">
        <f t="shared" ref="M73" si="65">L73*5</f>
        <v>5</v>
      </c>
      <c r="N73" s="62">
        <v>6</v>
      </c>
      <c r="O73" s="64" t="s">
        <v>385</v>
      </c>
      <c r="P73" s="65">
        <v>0.54410000000000003</v>
      </c>
      <c r="Q73" s="65">
        <f t="shared" ref="Q73" si="66">P73*N73</f>
        <v>3.2646000000000002</v>
      </c>
      <c r="R73" s="62"/>
      <c r="S73" s="62"/>
    </row>
    <row r="74" spans="1:19" ht="24" x14ac:dyDescent="0.25">
      <c r="A74" s="1"/>
      <c r="B74" s="44">
        <f>ROW(B74) - ROW($B$9)</f>
        <v>65</v>
      </c>
      <c r="C74" s="56" t="s">
        <v>24</v>
      </c>
      <c r="D74" s="58" t="s">
        <v>78</v>
      </c>
      <c r="E74" s="58" t="s">
        <v>143</v>
      </c>
      <c r="F74" s="58" t="s">
        <v>183</v>
      </c>
      <c r="G74" s="58" t="s">
        <v>239</v>
      </c>
      <c r="H74" s="58" t="s">
        <v>273</v>
      </c>
      <c r="I74" s="58" t="s">
        <v>372</v>
      </c>
      <c r="J74" s="58" t="s">
        <v>330</v>
      </c>
      <c r="K74" s="58" t="s">
        <v>372</v>
      </c>
      <c r="L74" s="58">
        <v>1</v>
      </c>
      <c r="M74" s="58">
        <f>L74*5</f>
        <v>5</v>
      </c>
      <c r="N74" s="58">
        <v>10</v>
      </c>
      <c r="O74" s="55" t="s">
        <v>385</v>
      </c>
      <c r="P74" s="59">
        <v>7.6300000000000007E-2</v>
      </c>
      <c r="Q74" s="59">
        <f>P74*N74</f>
        <v>0.76300000000000012</v>
      </c>
      <c r="R74" s="57"/>
      <c r="S74" s="37"/>
    </row>
    <row r="75" spans="1:19" ht="24" x14ac:dyDescent="0.25">
      <c r="A75" s="1"/>
      <c r="B75" s="45">
        <f t="shared" si="0"/>
        <v>66</v>
      </c>
      <c r="C75" s="60" t="s">
        <v>24</v>
      </c>
      <c r="D75" s="61" t="s">
        <v>79</v>
      </c>
      <c r="E75" s="62" t="s">
        <v>144</v>
      </c>
      <c r="F75" s="62" t="s">
        <v>184</v>
      </c>
      <c r="G75" s="62" t="s">
        <v>240</v>
      </c>
      <c r="H75" s="62" t="s">
        <v>274</v>
      </c>
      <c r="I75" s="62" t="s">
        <v>372</v>
      </c>
      <c r="J75" s="62" t="s">
        <v>331</v>
      </c>
      <c r="K75" s="62" t="s">
        <v>372</v>
      </c>
      <c r="L75" s="62">
        <v>1</v>
      </c>
      <c r="M75" s="62">
        <f t="shared" ref="M75" si="67">L75*5</f>
        <v>5</v>
      </c>
      <c r="N75" s="62">
        <v>6</v>
      </c>
      <c r="O75" s="64" t="s">
        <v>385</v>
      </c>
      <c r="P75" s="65">
        <v>3.1484999999999999</v>
      </c>
      <c r="Q75" s="65">
        <f t="shared" ref="Q75" si="68">P75*N75</f>
        <v>18.890999999999998</v>
      </c>
      <c r="R75" s="62"/>
      <c r="S75" s="62"/>
    </row>
    <row r="76" spans="1:19" ht="24" x14ac:dyDescent="0.25">
      <c r="A76" s="1"/>
      <c r="B76" s="44">
        <f>ROW(B76) - ROW($B$9)</f>
        <v>67</v>
      </c>
      <c r="C76" s="56" t="s">
        <v>24</v>
      </c>
      <c r="D76" s="58" t="s">
        <v>80</v>
      </c>
      <c r="E76" s="58" t="s">
        <v>145</v>
      </c>
      <c r="F76" s="58" t="s">
        <v>185</v>
      </c>
      <c r="G76" s="58" t="s">
        <v>241</v>
      </c>
      <c r="H76" s="58" t="s">
        <v>275</v>
      </c>
      <c r="I76" s="58" t="s">
        <v>372</v>
      </c>
      <c r="J76" s="58" t="s">
        <v>332</v>
      </c>
      <c r="K76" s="58" t="s">
        <v>372</v>
      </c>
      <c r="L76" s="58">
        <v>1</v>
      </c>
      <c r="M76" s="58">
        <f>L76*5</f>
        <v>5</v>
      </c>
      <c r="N76" s="58">
        <v>10</v>
      </c>
      <c r="O76" s="55" t="s">
        <v>385</v>
      </c>
      <c r="P76" s="59">
        <v>0.10920000000000001</v>
      </c>
      <c r="Q76" s="59">
        <f>P76*N76</f>
        <v>1.0920000000000001</v>
      </c>
      <c r="R76" s="57"/>
      <c r="S76" s="37"/>
    </row>
    <row r="77" spans="1:19" x14ac:dyDescent="0.25">
      <c r="A77" s="1"/>
      <c r="B77" s="45">
        <f t="shared" si="0"/>
        <v>68</v>
      </c>
      <c r="C77" s="60" t="s">
        <v>24</v>
      </c>
      <c r="D77" s="61" t="s">
        <v>81</v>
      </c>
      <c r="E77" s="62" t="s">
        <v>146</v>
      </c>
      <c r="F77" s="62" t="s">
        <v>186</v>
      </c>
      <c r="G77" s="62" t="s">
        <v>242</v>
      </c>
      <c r="H77" s="62" t="s">
        <v>276</v>
      </c>
      <c r="I77" s="62" t="s">
        <v>372</v>
      </c>
      <c r="J77" s="62" t="s">
        <v>333</v>
      </c>
      <c r="K77" s="62" t="s">
        <v>372</v>
      </c>
      <c r="L77" s="62">
        <v>4</v>
      </c>
      <c r="M77" s="62">
        <f t="shared" ref="M77" si="69">L77*5</f>
        <v>20</v>
      </c>
      <c r="N77" s="62">
        <v>21</v>
      </c>
      <c r="O77" s="64" t="s">
        <v>385</v>
      </c>
      <c r="P77" s="65">
        <v>7.5918999999999999</v>
      </c>
      <c r="Q77" s="65">
        <f t="shared" ref="Q77" si="70">P77*N77</f>
        <v>159.4299</v>
      </c>
      <c r="R77" s="62"/>
      <c r="S77" s="62"/>
    </row>
    <row r="78" spans="1:19" x14ac:dyDescent="0.25">
      <c r="A78" s="1"/>
      <c r="B78" s="44">
        <f>ROW(B78) - ROW($B$9)</f>
        <v>69</v>
      </c>
      <c r="C78" s="56" t="s">
        <v>24</v>
      </c>
      <c r="D78" s="58" t="s">
        <v>437</v>
      </c>
      <c r="E78" s="58" t="s">
        <v>147</v>
      </c>
      <c r="F78" s="58" t="s">
        <v>187</v>
      </c>
      <c r="G78" s="58" t="s">
        <v>243</v>
      </c>
      <c r="H78" s="58" t="s">
        <v>277</v>
      </c>
      <c r="I78" s="58" t="s">
        <v>372</v>
      </c>
      <c r="J78" s="58" t="s">
        <v>334</v>
      </c>
      <c r="K78" s="58" t="s">
        <v>372</v>
      </c>
      <c r="L78" s="58">
        <v>1</v>
      </c>
      <c r="M78" s="58">
        <f>L78*5</f>
        <v>5</v>
      </c>
      <c r="N78" s="58">
        <v>6</v>
      </c>
      <c r="O78" s="55" t="s">
        <v>385</v>
      </c>
      <c r="P78" s="59">
        <v>0.73819999999999997</v>
      </c>
      <c r="Q78" s="59">
        <f>P78*N78</f>
        <v>4.4291999999999998</v>
      </c>
      <c r="R78" s="57"/>
      <c r="S78" s="37"/>
    </row>
    <row r="79" spans="1:19" x14ac:dyDescent="0.25">
      <c r="A79" s="1"/>
      <c r="B79" s="44"/>
      <c r="C79" s="56" t="s">
        <v>24</v>
      </c>
      <c r="D79" s="37" t="s">
        <v>438</v>
      </c>
      <c r="E79" s="37" t="s">
        <v>439</v>
      </c>
      <c r="F79" s="37" t="s">
        <v>440</v>
      </c>
      <c r="G79" s="37" t="s">
        <v>441</v>
      </c>
      <c r="H79" s="37" t="s">
        <v>277</v>
      </c>
      <c r="I79" s="37" t="s">
        <v>372</v>
      </c>
      <c r="J79" s="37" t="s">
        <v>442</v>
      </c>
      <c r="K79" s="37" t="s">
        <v>372</v>
      </c>
      <c r="L79" s="37">
        <v>1</v>
      </c>
      <c r="M79" s="58">
        <f>L79*5</f>
        <v>5</v>
      </c>
      <c r="N79" s="58">
        <v>6</v>
      </c>
      <c r="O79" s="55" t="s">
        <v>385</v>
      </c>
      <c r="P79" s="59">
        <v>0.39460000000000001</v>
      </c>
      <c r="Q79" s="59">
        <f>P79*N79</f>
        <v>2.3675999999999999</v>
      </c>
      <c r="R79" s="57"/>
      <c r="S79" s="37"/>
    </row>
    <row r="80" spans="1:19" x14ac:dyDescent="0.25">
      <c r="A80" s="1"/>
      <c r="B80" s="45">
        <f t="shared" si="0"/>
        <v>71</v>
      </c>
      <c r="C80" s="60" t="s">
        <v>24</v>
      </c>
      <c r="D80" s="61" t="s">
        <v>82</v>
      </c>
      <c r="E80" s="62" t="s">
        <v>148</v>
      </c>
      <c r="F80" s="62" t="s">
        <v>186</v>
      </c>
      <c r="G80" s="62" t="s">
        <v>244</v>
      </c>
      <c r="H80" s="62" t="s">
        <v>277</v>
      </c>
      <c r="I80" s="62" t="s">
        <v>372</v>
      </c>
      <c r="J80" s="62" t="s">
        <v>335</v>
      </c>
      <c r="K80" s="62" t="s">
        <v>372</v>
      </c>
      <c r="L80" s="62">
        <v>1</v>
      </c>
      <c r="M80" s="62">
        <f t="shared" ref="M80" si="71">L80*5</f>
        <v>5</v>
      </c>
      <c r="N80" s="62">
        <v>6</v>
      </c>
      <c r="O80" s="64" t="s">
        <v>385</v>
      </c>
      <c r="P80" s="65">
        <v>0.6905</v>
      </c>
      <c r="Q80" s="65">
        <f t="shared" ref="Q80" si="72">P80*N80</f>
        <v>4.1429999999999998</v>
      </c>
      <c r="R80" s="62"/>
      <c r="S80" s="62"/>
    </row>
    <row r="81" spans="1:19" ht="24" x14ac:dyDescent="0.25">
      <c r="A81" s="1"/>
      <c r="B81" s="44">
        <f>ROW(B81) - ROW($B$9)</f>
        <v>72</v>
      </c>
      <c r="C81" s="56" t="s">
        <v>25</v>
      </c>
      <c r="D81" s="58" t="s">
        <v>83</v>
      </c>
      <c r="E81" s="58" t="s">
        <v>149</v>
      </c>
      <c r="F81" s="58" t="s">
        <v>372</v>
      </c>
      <c r="G81" s="58" t="s">
        <v>188</v>
      </c>
      <c r="H81" s="58" t="s">
        <v>278</v>
      </c>
      <c r="I81" s="58" t="s">
        <v>372</v>
      </c>
      <c r="J81" s="58" t="s">
        <v>336</v>
      </c>
      <c r="K81" s="58" t="s">
        <v>372</v>
      </c>
      <c r="L81" s="58">
        <v>1</v>
      </c>
      <c r="M81" s="58">
        <f>L81*5</f>
        <v>5</v>
      </c>
      <c r="N81" s="58">
        <v>6</v>
      </c>
      <c r="O81" s="55" t="s">
        <v>385</v>
      </c>
      <c r="P81" s="59">
        <v>20.79</v>
      </c>
      <c r="Q81" s="59">
        <f>P81*N81</f>
        <v>124.74</v>
      </c>
      <c r="R81" s="57"/>
      <c r="S81" s="37"/>
    </row>
    <row r="82" spans="1:19" x14ac:dyDescent="0.25">
      <c r="A82" s="1"/>
      <c r="B82" s="45">
        <f t="shared" si="0"/>
        <v>73</v>
      </c>
      <c r="C82" s="60" t="s">
        <v>24</v>
      </c>
      <c r="D82" s="61" t="s">
        <v>84</v>
      </c>
      <c r="E82" s="62" t="s">
        <v>150</v>
      </c>
      <c r="F82" s="62" t="s">
        <v>189</v>
      </c>
      <c r="G82" s="62" t="s">
        <v>245</v>
      </c>
      <c r="H82" s="62" t="s">
        <v>279</v>
      </c>
      <c r="I82" s="62" t="s">
        <v>372</v>
      </c>
      <c r="J82" s="62" t="s">
        <v>337</v>
      </c>
      <c r="K82" s="62" t="s">
        <v>372</v>
      </c>
      <c r="L82" s="62">
        <v>1</v>
      </c>
      <c r="M82" s="62">
        <f t="shared" ref="M82" si="73">L82*5</f>
        <v>5</v>
      </c>
      <c r="N82" s="62">
        <v>6</v>
      </c>
      <c r="O82" s="64" t="s">
        <v>385</v>
      </c>
      <c r="P82" s="65">
        <v>11.400499999999999</v>
      </c>
      <c r="Q82" s="65">
        <f t="shared" ref="Q82" si="74">P82*N82</f>
        <v>68.402999999999992</v>
      </c>
      <c r="R82" s="62"/>
      <c r="S82" s="62"/>
    </row>
    <row r="83" spans="1:19" x14ac:dyDescent="0.25">
      <c r="A83" s="1"/>
      <c r="B83" s="44">
        <f>ROW(B83) - ROW($B$9)</f>
        <v>74</v>
      </c>
      <c r="C83" s="56" t="s">
        <v>24</v>
      </c>
      <c r="D83" s="58" t="s">
        <v>85</v>
      </c>
      <c r="E83" s="58" t="s">
        <v>151</v>
      </c>
      <c r="F83" s="58" t="s">
        <v>190</v>
      </c>
      <c r="G83" s="58" t="s">
        <v>246</v>
      </c>
      <c r="H83" s="58" t="s">
        <v>280</v>
      </c>
      <c r="I83" s="58" t="s">
        <v>372</v>
      </c>
      <c r="J83" s="58" t="s">
        <v>338</v>
      </c>
      <c r="K83" s="58" t="s">
        <v>372</v>
      </c>
      <c r="L83" s="58">
        <v>1</v>
      </c>
      <c r="M83" s="58">
        <f>L83*5</f>
        <v>5</v>
      </c>
      <c r="N83" s="58">
        <v>6</v>
      </c>
      <c r="O83" s="55" t="s">
        <v>385</v>
      </c>
      <c r="P83" s="59">
        <v>2.8128000000000002</v>
      </c>
      <c r="Q83" s="59">
        <f>P83*N83</f>
        <v>16.876800000000003</v>
      </c>
      <c r="R83" s="57"/>
      <c r="S83" s="37"/>
    </row>
    <row r="84" spans="1:19" ht="24" x14ac:dyDescent="0.25">
      <c r="A84" s="1"/>
      <c r="B84" s="45">
        <f t="shared" ref="B84" si="75">ROW(B84) - ROW($B$9)</f>
        <v>75</v>
      </c>
      <c r="C84" s="60" t="s">
        <v>24</v>
      </c>
      <c r="D84" s="62" t="s">
        <v>465</v>
      </c>
      <c r="E84" s="62" t="s">
        <v>466</v>
      </c>
      <c r="F84" s="62" t="s">
        <v>467</v>
      </c>
      <c r="G84" s="62" t="s">
        <v>468</v>
      </c>
      <c r="H84" s="62" t="s">
        <v>277</v>
      </c>
      <c r="I84" s="62" t="s">
        <v>372</v>
      </c>
      <c r="J84" s="62" t="s">
        <v>469</v>
      </c>
      <c r="K84" s="62" t="s">
        <v>372</v>
      </c>
      <c r="L84" s="62">
        <v>2</v>
      </c>
      <c r="M84" s="62">
        <f t="shared" ref="M84" si="76">L84*5</f>
        <v>10</v>
      </c>
      <c r="N84" s="62">
        <v>15</v>
      </c>
      <c r="O84" s="64" t="s">
        <v>385</v>
      </c>
      <c r="P84" s="65">
        <v>0.10970000000000001</v>
      </c>
      <c r="Q84" s="65">
        <f t="shared" ref="Q84" si="77">P84*N84</f>
        <v>1.6455000000000002</v>
      </c>
      <c r="R84" s="62"/>
      <c r="S84" s="74"/>
    </row>
    <row r="85" spans="1:19" ht="36" x14ac:dyDescent="0.25">
      <c r="A85" s="1"/>
      <c r="B85" s="45">
        <f t="shared" si="0"/>
        <v>76</v>
      </c>
      <c r="C85" s="60" t="s">
        <v>26</v>
      </c>
      <c r="D85" s="61" t="s">
        <v>86</v>
      </c>
      <c r="E85" s="62" t="s">
        <v>152</v>
      </c>
      <c r="F85" s="62" t="s">
        <v>191</v>
      </c>
      <c r="G85" s="62" t="s">
        <v>247</v>
      </c>
      <c r="H85" s="62" t="s">
        <v>281</v>
      </c>
      <c r="I85" s="62" t="s">
        <v>372</v>
      </c>
      <c r="J85" s="62" t="s">
        <v>339</v>
      </c>
      <c r="K85" s="62" t="s">
        <v>372</v>
      </c>
      <c r="L85" s="62">
        <v>1</v>
      </c>
      <c r="M85" s="62">
        <f t="shared" ref="M85:M88" si="78">L85*5</f>
        <v>5</v>
      </c>
      <c r="N85" s="62">
        <v>10</v>
      </c>
      <c r="O85" s="64" t="s">
        <v>385</v>
      </c>
      <c r="P85" s="65">
        <v>8.3400000000000002E-2</v>
      </c>
      <c r="Q85" s="65">
        <f t="shared" ref="Q85" si="79">P85*N85</f>
        <v>0.83400000000000007</v>
      </c>
      <c r="R85" s="62"/>
      <c r="S85" s="62"/>
    </row>
    <row r="86" spans="1:19" x14ac:dyDescent="0.25">
      <c r="A86" s="1"/>
      <c r="B86" s="45">
        <f t="shared" si="0"/>
        <v>77</v>
      </c>
      <c r="C86" s="60" t="s">
        <v>424</v>
      </c>
      <c r="D86" s="71" t="s">
        <v>429</v>
      </c>
      <c r="E86" s="62" t="s">
        <v>428</v>
      </c>
      <c r="F86" s="62" t="s">
        <v>384</v>
      </c>
      <c r="G86" s="62" t="s">
        <v>425</v>
      </c>
      <c r="H86" s="62" t="s">
        <v>427</v>
      </c>
      <c r="I86" s="62" t="s">
        <v>372</v>
      </c>
      <c r="J86" s="62" t="s">
        <v>426</v>
      </c>
      <c r="K86" s="62" t="s">
        <v>372</v>
      </c>
      <c r="L86" s="62">
        <v>1</v>
      </c>
      <c r="M86" s="62">
        <f t="shared" si="78"/>
        <v>5</v>
      </c>
      <c r="N86" s="62">
        <v>6</v>
      </c>
      <c r="O86" s="64" t="s">
        <v>385</v>
      </c>
      <c r="P86" s="65">
        <v>1.5643</v>
      </c>
      <c r="Q86" s="65">
        <f>P86*N86</f>
        <v>9.3857999999999997</v>
      </c>
      <c r="R86" s="62"/>
      <c r="S86" s="62"/>
    </row>
    <row r="87" spans="1:19" x14ac:dyDescent="0.25">
      <c r="A87" s="1"/>
      <c r="B87" s="45">
        <f t="shared" ref="B87:B88" si="80">ROW(B87) - ROW($B$9)</f>
        <v>78</v>
      </c>
      <c r="C87" s="60" t="s">
        <v>424</v>
      </c>
      <c r="D87" s="71" t="s">
        <v>429</v>
      </c>
      <c r="E87" s="62" t="s">
        <v>432</v>
      </c>
      <c r="F87" s="62" t="s">
        <v>384</v>
      </c>
      <c r="G87" s="62" t="s">
        <v>430</v>
      </c>
      <c r="H87" s="62" t="s">
        <v>427</v>
      </c>
      <c r="I87" s="62" t="s">
        <v>372</v>
      </c>
      <c r="J87" s="62" t="s">
        <v>431</v>
      </c>
      <c r="K87" s="62" t="s">
        <v>372</v>
      </c>
      <c r="L87" s="62">
        <v>1</v>
      </c>
      <c r="M87" s="62">
        <f t="shared" si="78"/>
        <v>5</v>
      </c>
      <c r="N87" s="62">
        <v>6</v>
      </c>
      <c r="O87" s="64" t="s">
        <v>385</v>
      </c>
      <c r="P87" s="65">
        <v>2.0146999999999999</v>
      </c>
      <c r="Q87" s="65">
        <f>P87*N87</f>
        <v>12.088200000000001</v>
      </c>
      <c r="R87" s="62"/>
      <c r="S87" s="62"/>
    </row>
    <row r="88" spans="1:19" ht="24.75" thickBot="1" x14ac:dyDescent="0.3">
      <c r="A88" s="1"/>
      <c r="B88" s="45">
        <f t="shared" si="80"/>
        <v>79</v>
      </c>
      <c r="C88" s="60" t="s">
        <v>424</v>
      </c>
      <c r="D88" s="71" t="s">
        <v>429</v>
      </c>
      <c r="E88" s="62" t="s">
        <v>434</v>
      </c>
      <c r="F88" s="62" t="s">
        <v>384</v>
      </c>
      <c r="G88" s="62" t="s">
        <v>433</v>
      </c>
      <c r="H88" s="62" t="s">
        <v>427</v>
      </c>
      <c r="I88" s="62" t="s">
        <v>372</v>
      </c>
      <c r="J88" s="62" t="s">
        <v>435</v>
      </c>
      <c r="K88" s="62" t="s">
        <v>372</v>
      </c>
      <c r="L88" s="62">
        <v>1</v>
      </c>
      <c r="M88" s="62">
        <f t="shared" si="78"/>
        <v>5</v>
      </c>
      <c r="N88" s="62">
        <v>6</v>
      </c>
      <c r="O88" s="64" t="s">
        <v>385</v>
      </c>
      <c r="P88" s="65">
        <v>0.80110000000000003</v>
      </c>
      <c r="Q88" s="65">
        <f>P88*N88</f>
        <v>4.8066000000000004</v>
      </c>
      <c r="R88" s="62"/>
      <c r="S88" s="62"/>
    </row>
    <row r="89" spans="1:19" ht="19.5" thickBot="1" x14ac:dyDescent="0.3">
      <c r="A89" s="1"/>
      <c r="B89" s="38"/>
      <c r="C89" s="39"/>
      <c r="D89" s="40"/>
      <c r="E89" s="41"/>
      <c r="F89" s="42"/>
      <c r="G89" s="43"/>
      <c r="H89" s="42"/>
      <c r="I89" s="43"/>
      <c r="J89" s="42"/>
      <c r="K89" s="43"/>
      <c r="L89" s="43"/>
      <c r="M89" s="43"/>
      <c r="N89" s="83" t="s">
        <v>5</v>
      </c>
      <c r="O89" s="84"/>
      <c r="P89" s="84"/>
      <c r="Q89" s="46">
        <f>SUM(Q10:Q88)</f>
        <v>609.0107999999999</v>
      </c>
      <c r="R89" s="79"/>
      <c r="S89" s="80"/>
    </row>
    <row r="90" spans="1:19" ht="19.5" thickBot="1" x14ac:dyDescent="0.3">
      <c r="A90" s="1"/>
      <c r="B90" s="25"/>
      <c r="C90" s="36"/>
      <c r="D90" s="9"/>
      <c r="E90" s="10"/>
      <c r="F90" s="10"/>
      <c r="G90" s="10"/>
      <c r="H90" s="10"/>
      <c r="I90" s="10"/>
      <c r="J90" s="10"/>
      <c r="K90" s="10"/>
      <c r="L90" s="10"/>
      <c r="M90" s="10"/>
      <c r="N90" s="83" t="s">
        <v>6</v>
      </c>
      <c r="O90" s="84"/>
      <c r="P90" s="84"/>
      <c r="Q90" s="47">
        <f>Q89/5</f>
        <v>121.80215999999999</v>
      </c>
      <c r="R90" s="81"/>
      <c r="S90" s="82"/>
    </row>
  </sheetData>
  <mergeCells count="5">
    <mergeCell ref="K1:S1"/>
    <mergeCell ref="S3:S8"/>
    <mergeCell ref="R89:S90"/>
    <mergeCell ref="N89:P89"/>
    <mergeCell ref="N90:P90"/>
  </mergeCells>
  <phoneticPr fontId="27" type="noConversion"/>
  <hyperlinks>
    <hyperlink ref="O10" r:id="rId1"/>
    <hyperlink ref="O11" r:id="rId2"/>
    <hyperlink ref="O13" r:id="rId3"/>
    <hyperlink ref="O14" r:id="rId4"/>
    <hyperlink ref="O15" r:id="rId5"/>
    <hyperlink ref="O16" r:id="rId6"/>
    <hyperlink ref="O18" r:id="rId7"/>
    <hyperlink ref="O19" r:id="rId8"/>
    <hyperlink ref="O22" r:id="rId9"/>
    <hyperlink ref="O23" r:id="rId10"/>
    <hyperlink ref="O24" r:id="rId11"/>
    <hyperlink ref="O26" r:id="rId12"/>
    <hyperlink ref="O27" r:id="rId13"/>
    <hyperlink ref="O28" r:id="rId14"/>
    <hyperlink ref="O29" r:id="rId15"/>
    <hyperlink ref="O30" r:id="rId16"/>
    <hyperlink ref="O31" r:id="rId17"/>
    <hyperlink ref="O32" r:id="rId18"/>
    <hyperlink ref="O33" r:id="rId19"/>
    <hyperlink ref="O34" r:id="rId20"/>
    <hyperlink ref="O35" r:id="rId21"/>
    <hyperlink ref="O38" r:id="rId22"/>
    <hyperlink ref="O39" r:id="rId23"/>
    <hyperlink ref="O40" r:id="rId24"/>
    <hyperlink ref="O42" r:id="rId25"/>
    <hyperlink ref="O43" r:id="rId26"/>
    <hyperlink ref="O44" r:id="rId27"/>
    <hyperlink ref="O45" r:id="rId28"/>
    <hyperlink ref="O46" r:id="rId29"/>
    <hyperlink ref="O47" r:id="rId30"/>
    <hyperlink ref="O51" r:id="rId31"/>
    <hyperlink ref="O52" r:id="rId32"/>
    <hyperlink ref="O53" r:id="rId33"/>
    <hyperlink ref="O54" r:id="rId34"/>
    <hyperlink ref="O55" r:id="rId35"/>
    <hyperlink ref="O56" r:id="rId36"/>
    <hyperlink ref="O57" r:id="rId37"/>
    <hyperlink ref="O58" r:id="rId38"/>
    <hyperlink ref="O59" r:id="rId39"/>
    <hyperlink ref="O60" r:id="rId40"/>
    <hyperlink ref="O61" r:id="rId41"/>
    <hyperlink ref="O62" r:id="rId42"/>
    <hyperlink ref="O63" r:id="rId43"/>
    <hyperlink ref="O64" r:id="rId44"/>
    <hyperlink ref="O65" r:id="rId45"/>
    <hyperlink ref="O66" r:id="rId46"/>
    <hyperlink ref="O67" r:id="rId47"/>
    <hyperlink ref="O68" r:id="rId48"/>
    <hyperlink ref="O69" r:id="rId49"/>
    <hyperlink ref="O73" r:id="rId50"/>
    <hyperlink ref="O74" r:id="rId51"/>
    <hyperlink ref="O75" r:id="rId52"/>
    <hyperlink ref="O76" r:id="rId53"/>
    <hyperlink ref="O77" r:id="rId54"/>
    <hyperlink ref="O78" r:id="rId55"/>
    <hyperlink ref="O80" r:id="rId56"/>
    <hyperlink ref="O81" r:id="rId57"/>
    <hyperlink ref="O82" r:id="rId58"/>
    <hyperlink ref="O83" r:id="rId59"/>
    <hyperlink ref="O85" r:id="rId60"/>
    <hyperlink ref="O25" r:id="rId61"/>
    <hyperlink ref="O12" r:id="rId62"/>
    <hyperlink ref="O17" r:id="rId63"/>
    <hyperlink ref="O36" r:id="rId64"/>
    <hyperlink ref="O37" r:id="rId65"/>
    <hyperlink ref="O20" r:id="rId66"/>
    <hyperlink ref="O49" r:id="rId67"/>
    <hyperlink ref="O86" r:id="rId68"/>
    <hyperlink ref="O87" r:id="rId69"/>
    <hyperlink ref="O88" r:id="rId70"/>
    <hyperlink ref="O41" r:id="rId71"/>
    <hyperlink ref="O79" r:id="rId72"/>
    <hyperlink ref="O48" r:id="rId73"/>
    <hyperlink ref="O70" r:id="rId74"/>
    <hyperlink ref="O71" r:id="rId75"/>
    <hyperlink ref="O84" r:id="rId76"/>
    <hyperlink ref="O21" r:id="rId77"/>
  </hyperlinks>
  <pageMargins left="0.7" right="0.7" top="0.75" bottom="0.75" header="0.3" footer="0.3"/>
  <pageSetup paperSize="9" orientation="portrait" r:id="rId78"/>
  <drawing r:id="rId7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tabSelected="1" topLeftCell="E79" workbookViewId="0">
      <selection activeCell="K1" sqref="K1:S1"/>
    </sheetView>
  </sheetViews>
  <sheetFormatPr defaultRowHeight="15" x14ac:dyDescent="0.25"/>
  <cols>
    <col min="2" max="2" width="3" bestFit="1" customWidth="1"/>
    <col min="3" max="3" width="14.5703125" customWidth="1"/>
    <col min="4" max="4" width="31.140625" bestFit="1" customWidth="1"/>
    <col min="5" max="5" width="23.85546875" customWidth="1"/>
    <col min="6" max="6" width="15.425781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85546875" bestFit="1" customWidth="1"/>
    <col min="12" max="12" width="8.7109375" bestFit="1" customWidth="1"/>
    <col min="13" max="13" width="18.28515625" bestFit="1" customWidth="1"/>
    <col min="14" max="14" width="16.140625" bestFit="1" customWidth="1"/>
    <col min="15" max="15" width="8.7109375" bestFit="1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28515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5"/>
      <c r="L1" s="75"/>
      <c r="M1" s="75"/>
      <c r="N1" s="75"/>
      <c r="O1" s="75"/>
      <c r="P1" s="75"/>
      <c r="Q1" s="75"/>
      <c r="R1" s="75"/>
      <c r="S1" s="76"/>
    </row>
    <row r="2" spans="1:19" ht="32.25" thickBot="1" x14ac:dyDescent="0.3">
      <c r="A2" s="1"/>
      <c r="B2" s="21"/>
      <c r="C2" s="31"/>
      <c r="D2" s="11" t="s">
        <v>0</v>
      </c>
      <c r="E2" s="11"/>
      <c r="F2" s="48" t="s">
        <v>398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49" t="s">
        <v>399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7"/>
    </row>
    <row r="4" spans="1:19" x14ac:dyDescent="0.25">
      <c r="A4" s="1"/>
      <c r="B4" s="22"/>
      <c r="C4" s="32"/>
      <c r="D4" s="13" t="s">
        <v>2</v>
      </c>
      <c r="E4" s="13"/>
      <c r="F4" s="50" t="s">
        <v>399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8"/>
    </row>
    <row r="5" spans="1:19" x14ac:dyDescent="0.25">
      <c r="A5" s="1"/>
      <c r="B5" s="22"/>
      <c r="C5" s="32"/>
      <c r="D5" s="13" t="s">
        <v>3</v>
      </c>
      <c r="E5" s="13"/>
      <c r="F5" s="51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8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8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8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8"/>
    </row>
    <row r="9" spans="1:19" ht="15.75" thickBot="1" x14ac:dyDescent="0.3">
      <c r="A9" s="1"/>
      <c r="B9" s="30" t="s">
        <v>4</v>
      </c>
      <c r="C9" s="30" t="s">
        <v>8</v>
      </c>
      <c r="D9" s="52" t="s">
        <v>27</v>
      </c>
      <c r="E9" s="30" t="s">
        <v>87</v>
      </c>
      <c r="F9" s="52" t="s">
        <v>153</v>
      </c>
      <c r="G9" s="30" t="s">
        <v>192</v>
      </c>
      <c r="H9" s="52" t="s">
        <v>248</v>
      </c>
      <c r="I9" s="30" t="s">
        <v>375</v>
      </c>
      <c r="J9" s="52" t="s">
        <v>282</v>
      </c>
      <c r="K9" s="53" t="s">
        <v>376</v>
      </c>
      <c r="L9" s="30" t="s">
        <v>371</v>
      </c>
      <c r="M9" s="54" t="s">
        <v>470</v>
      </c>
      <c r="N9" s="52" t="s">
        <v>471</v>
      </c>
      <c r="O9" s="30" t="s">
        <v>377</v>
      </c>
      <c r="P9" s="52" t="s">
        <v>472</v>
      </c>
      <c r="Q9" s="30" t="s">
        <v>473</v>
      </c>
      <c r="R9" s="52" t="s">
        <v>378</v>
      </c>
      <c r="S9" s="30" t="s">
        <v>379</v>
      </c>
    </row>
    <row r="10" spans="1:19" s="87" customFormat="1" x14ac:dyDescent="0.25">
      <c r="A10" s="85"/>
      <c r="B10" s="44">
        <f>ROW(B10) - ROW($B$9)</f>
        <v>1</v>
      </c>
      <c r="C10" s="56" t="s">
        <v>9</v>
      </c>
      <c r="D10" s="58" t="s">
        <v>28</v>
      </c>
      <c r="E10" s="37" t="s">
        <v>88</v>
      </c>
      <c r="F10" s="37" t="s">
        <v>154</v>
      </c>
      <c r="G10" s="37" t="s">
        <v>193</v>
      </c>
      <c r="H10" s="37" t="s">
        <v>249</v>
      </c>
      <c r="I10" s="37" t="s">
        <v>372</v>
      </c>
      <c r="J10" s="37" t="s">
        <v>283</v>
      </c>
      <c r="K10" s="37" t="s">
        <v>340</v>
      </c>
      <c r="L10" s="37">
        <v>1</v>
      </c>
      <c r="M10" s="37">
        <f>L10*40</f>
        <v>40</v>
      </c>
      <c r="N10" s="37">
        <v>45</v>
      </c>
      <c r="O10" s="55" t="s">
        <v>385</v>
      </c>
      <c r="P10" s="72">
        <v>0.14849999999999999</v>
      </c>
      <c r="Q10" s="72">
        <f>P10*N10</f>
        <v>6.6825000000000001</v>
      </c>
      <c r="R10" s="37"/>
      <c r="S10" s="86"/>
    </row>
    <row r="11" spans="1:19" s="87" customFormat="1" ht="48" x14ac:dyDescent="0.25">
      <c r="A11" s="85"/>
      <c r="B11" s="45">
        <f t="shared" ref="B11:B86" si="0">ROW(B11) - ROW($B$9)</f>
        <v>2</v>
      </c>
      <c r="C11" s="60" t="s">
        <v>9</v>
      </c>
      <c r="D11" s="62" t="s">
        <v>443</v>
      </c>
      <c r="E11" s="62" t="s">
        <v>89</v>
      </c>
      <c r="F11" s="62" t="s">
        <v>154</v>
      </c>
      <c r="G11" s="63" t="s">
        <v>194</v>
      </c>
      <c r="H11" s="62" t="s">
        <v>249</v>
      </c>
      <c r="I11" s="62" t="s">
        <v>386</v>
      </c>
      <c r="J11" s="62" t="s">
        <v>284</v>
      </c>
      <c r="K11" s="62" t="s">
        <v>341</v>
      </c>
      <c r="L11" s="62">
        <v>30</v>
      </c>
      <c r="M11" s="37">
        <f t="shared" ref="M11:M74" si="1">L11*40</f>
        <v>1200</v>
      </c>
      <c r="N11" s="62">
        <v>1250</v>
      </c>
      <c r="O11" s="64" t="s">
        <v>385</v>
      </c>
      <c r="P11" s="65">
        <v>1.04E-2</v>
      </c>
      <c r="Q11" s="65">
        <f t="shared" ref="Q11" si="2">P11*N11</f>
        <v>13</v>
      </c>
      <c r="R11" s="62"/>
      <c r="S11" s="62"/>
    </row>
    <row r="12" spans="1:19" s="87" customFormat="1" ht="24" x14ac:dyDescent="0.25">
      <c r="A12" s="85"/>
      <c r="B12" s="44">
        <f>ROW(B12) - ROW($B$9)</f>
        <v>3</v>
      </c>
      <c r="C12" s="56" t="s">
        <v>9</v>
      </c>
      <c r="D12" s="58" t="s">
        <v>29</v>
      </c>
      <c r="E12" s="58" t="s">
        <v>400</v>
      </c>
      <c r="F12" s="58" t="s">
        <v>401</v>
      </c>
      <c r="G12" s="58" t="s">
        <v>402</v>
      </c>
      <c r="H12" s="58" t="s">
        <v>403</v>
      </c>
      <c r="I12" s="58" t="s">
        <v>372</v>
      </c>
      <c r="J12" s="58" t="s">
        <v>404</v>
      </c>
      <c r="K12" s="58" t="s">
        <v>342</v>
      </c>
      <c r="L12" s="58">
        <v>2</v>
      </c>
      <c r="M12" s="37">
        <f t="shared" si="1"/>
        <v>80</v>
      </c>
      <c r="N12" s="58">
        <v>90</v>
      </c>
      <c r="O12" s="55" t="s">
        <v>385</v>
      </c>
      <c r="P12" s="59">
        <v>5.5899999999999998E-2</v>
      </c>
      <c r="Q12" s="59">
        <f>P12*N12</f>
        <v>5.0309999999999997</v>
      </c>
      <c r="R12" s="57"/>
      <c r="S12" s="37"/>
    </row>
    <row r="13" spans="1:19" s="87" customFormat="1" ht="24" x14ac:dyDescent="0.25">
      <c r="A13" s="85"/>
      <c r="B13" s="45">
        <f t="shared" si="0"/>
        <v>4</v>
      </c>
      <c r="C13" s="60" t="s">
        <v>9</v>
      </c>
      <c r="D13" s="62" t="s">
        <v>444</v>
      </c>
      <c r="E13" s="62" t="s">
        <v>90</v>
      </c>
      <c r="F13" s="62" t="s">
        <v>384</v>
      </c>
      <c r="G13" s="62" t="s">
        <v>155</v>
      </c>
      <c r="H13" s="62" t="s">
        <v>251</v>
      </c>
      <c r="I13" s="62" t="s">
        <v>372</v>
      </c>
      <c r="J13" s="62" t="s">
        <v>285</v>
      </c>
      <c r="K13" s="62" t="s">
        <v>343</v>
      </c>
      <c r="L13" s="62">
        <v>3</v>
      </c>
      <c r="M13" s="37">
        <f t="shared" si="1"/>
        <v>120</v>
      </c>
      <c r="N13" s="62">
        <v>122</v>
      </c>
      <c r="O13" s="64" t="s">
        <v>385</v>
      </c>
      <c r="P13" s="65">
        <v>0.37869999999999998</v>
      </c>
      <c r="Q13" s="65">
        <f t="shared" ref="Q13:Q14" si="3">P13*N13</f>
        <v>46.2014</v>
      </c>
      <c r="R13" s="66"/>
      <c r="S13" s="62"/>
    </row>
    <row r="14" spans="1:19" s="87" customFormat="1" ht="24" x14ac:dyDescent="0.25">
      <c r="A14" s="85"/>
      <c r="B14" s="45">
        <f t="shared" si="0"/>
        <v>5</v>
      </c>
      <c r="C14" s="56" t="s">
        <v>9</v>
      </c>
      <c r="D14" s="58" t="s">
        <v>30</v>
      </c>
      <c r="E14" s="58" t="s">
        <v>91</v>
      </c>
      <c r="F14" s="58" t="s">
        <v>156</v>
      </c>
      <c r="G14" s="58" t="s">
        <v>195</v>
      </c>
      <c r="H14" s="58" t="s">
        <v>251</v>
      </c>
      <c r="I14" s="58" t="s">
        <v>372</v>
      </c>
      <c r="J14" s="58" t="s">
        <v>286</v>
      </c>
      <c r="K14" s="58" t="s">
        <v>344</v>
      </c>
      <c r="L14" s="58">
        <v>1</v>
      </c>
      <c r="M14" s="37">
        <f t="shared" si="1"/>
        <v>40</v>
      </c>
      <c r="N14" s="58">
        <v>42</v>
      </c>
      <c r="O14" s="55" t="s">
        <v>385</v>
      </c>
      <c r="P14" s="59">
        <v>0.70009999999999994</v>
      </c>
      <c r="Q14" s="59">
        <f t="shared" si="3"/>
        <v>29.404199999999996</v>
      </c>
      <c r="R14" s="57"/>
      <c r="S14" s="37"/>
    </row>
    <row r="15" spans="1:19" s="87" customFormat="1" ht="24" x14ac:dyDescent="0.25">
      <c r="A15" s="85"/>
      <c r="B15" s="44">
        <f>ROW(B15) - ROW($B$9)</f>
        <v>6</v>
      </c>
      <c r="C15" s="60" t="s">
        <v>9</v>
      </c>
      <c r="D15" s="61" t="s">
        <v>31</v>
      </c>
      <c r="E15" s="62" t="s">
        <v>92</v>
      </c>
      <c r="F15" s="62" t="s">
        <v>154</v>
      </c>
      <c r="G15" s="62" t="s">
        <v>196</v>
      </c>
      <c r="H15" s="62" t="s">
        <v>249</v>
      </c>
      <c r="I15" s="62" t="s">
        <v>372</v>
      </c>
      <c r="J15" s="62" t="s">
        <v>287</v>
      </c>
      <c r="K15" s="62" t="s">
        <v>345</v>
      </c>
      <c r="L15" s="62">
        <v>12</v>
      </c>
      <c r="M15" s="37">
        <f t="shared" si="1"/>
        <v>480</v>
      </c>
      <c r="N15" s="62">
        <v>500</v>
      </c>
      <c r="O15" s="64" t="s">
        <v>385</v>
      </c>
      <c r="P15" s="65">
        <v>2.8E-3</v>
      </c>
      <c r="Q15" s="65">
        <f>P15*N15</f>
        <v>1.4</v>
      </c>
      <c r="R15" s="62"/>
      <c r="S15" s="62"/>
    </row>
    <row r="16" spans="1:19" s="87" customFormat="1" x14ac:dyDescent="0.25">
      <c r="A16" s="85"/>
      <c r="B16" s="45">
        <f t="shared" si="0"/>
        <v>7</v>
      </c>
      <c r="C16" s="56" t="s">
        <v>9</v>
      </c>
      <c r="D16" s="37" t="s">
        <v>445</v>
      </c>
      <c r="E16" s="58" t="s">
        <v>93</v>
      </c>
      <c r="F16" s="58" t="s">
        <v>154</v>
      </c>
      <c r="G16" s="58" t="s">
        <v>197</v>
      </c>
      <c r="H16" s="58" t="s">
        <v>249</v>
      </c>
      <c r="I16" s="58" t="s">
        <v>372</v>
      </c>
      <c r="J16" s="58" t="s">
        <v>288</v>
      </c>
      <c r="K16" s="58" t="s">
        <v>346</v>
      </c>
      <c r="L16" s="58">
        <v>2</v>
      </c>
      <c r="M16" s="37">
        <f t="shared" si="1"/>
        <v>80</v>
      </c>
      <c r="N16" s="58">
        <v>100</v>
      </c>
      <c r="O16" s="55" t="s">
        <v>385</v>
      </c>
      <c r="P16" s="59">
        <v>4.8999999999999998E-3</v>
      </c>
      <c r="Q16" s="59">
        <f t="shared" ref="Q16" si="4">P16*N16</f>
        <v>0.49</v>
      </c>
      <c r="R16" s="57"/>
      <c r="S16" s="37"/>
    </row>
    <row r="17" spans="1:19" s="87" customFormat="1" ht="24" x14ac:dyDescent="0.25">
      <c r="A17" s="85"/>
      <c r="B17" s="44">
        <f>ROW(B17) - ROW($B$9)</f>
        <v>8</v>
      </c>
      <c r="C17" s="60" t="s">
        <v>9</v>
      </c>
      <c r="D17" s="61" t="s">
        <v>32</v>
      </c>
      <c r="E17" s="62" t="s">
        <v>94</v>
      </c>
      <c r="F17" s="62" t="s">
        <v>157</v>
      </c>
      <c r="G17" s="63" t="s">
        <v>198</v>
      </c>
      <c r="H17" s="62" t="s">
        <v>252</v>
      </c>
      <c r="I17" s="62" t="s">
        <v>417</v>
      </c>
      <c r="J17" s="62" t="s">
        <v>416</v>
      </c>
      <c r="K17" s="62" t="s">
        <v>347</v>
      </c>
      <c r="L17" s="62">
        <v>1</v>
      </c>
      <c r="M17" s="37">
        <f t="shared" si="1"/>
        <v>40</v>
      </c>
      <c r="N17" s="62">
        <v>100</v>
      </c>
      <c r="O17" s="64" t="s">
        <v>385</v>
      </c>
      <c r="P17" s="65">
        <v>1.2999999999999999E-3</v>
      </c>
      <c r="Q17" s="65">
        <f>P17*N17</f>
        <v>0.13</v>
      </c>
      <c r="R17" s="62"/>
      <c r="S17" s="62"/>
    </row>
    <row r="18" spans="1:19" s="87" customFormat="1" ht="24" x14ac:dyDescent="0.25">
      <c r="A18" s="85"/>
      <c r="B18" s="45">
        <f t="shared" si="0"/>
        <v>9</v>
      </c>
      <c r="C18" s="56" t="s">
        <v>9</v>
      </c>
      <c r="D18" s="58" t="s">
        <v>33</v>
      </c>
      <c r="E18" s="58" t="s">
        <v>95</v>
      </c>
      <c r="F18" s="58" t="s">
        <v>154</v>
      </c>
      <c r="G18" s="58" t="s">
        <v>199</v>
      </c>
      <c r="H18" s="58" t="s">
        <v>249</v>
      </c>
      <c r="I18" s="58" t="s">
        <v>372</v>
      </c>
      <c r="J18" s="58" t="s">
        <v>289</v>
      </c>
      <c r="K18" s="58" t="s">
        <v>348</v>
      </c>
      <c r="L18" s="58">
        <v>2</v>
      </c>
      <c r="M18" s="37">
        <f t="shared" si="1"/>
        <v>80</v>
      </c>
      <c r="N18" s="58">
        <v>100</v>
      </c>
      <c r="O18" s="55" t="s">
        <v>385</v>
      </c>
      <c r="P18" s="59">
        <v>2.8999999999999998E-3</v>
      </c>
      <c r="Q18" s="59">
        <f t="shared" ref="Q18" si="5">P18*N18</f>
        <v>0.28999999999999998</v>
      </c>
      <c r="R18" s="57"/>
      <c r="S18" s="37"/>
    </row>
    <row r="19" spans="1:19" s="87" customFormat="1" x14ac:dyDescent="0.25">
      <c r="A19" s="85"/>
      <c r="B19" s="44">
        <f>ROW(B19) - ROW($B$9)</f>
        <v>10</v>
      </c>
      <c r="C19" s="60" t="s">
        <v>9</v>
      </c>
      <c r="D19" s="61" t="s">
        <v>405</v>
      </c>
      <c r="E19" s="62" t="s">
        <v>96</v>
      </c>
      <c r="F19" s="62" t="s">
        <v>154</v>
      </c>
      <c r="G19" s="62" t="s">
        <v>200</v>
      </c>
      <c r="H19" s="62" t="s">
        <v>249</v>
      </c>
      <c r="I19" s="62" t="s">
        <v>372</v>
      </c>
      <c r="J19" s="62" t="s">
        <v>290</v>
      </c>
      <c r="K19" s="62" t="s">
        <v>349</v>
      </c>
      <c r="L19" s="62">
        <v>2</v>
      </c>
      <c r="M19" s="37">
        <f t="shared" si="1"/>
        <v>80</v>
      </c>
      <c r="N19" s="62">
        <v>100</v>
      </c>
      <c r="O19" s="64" t="s">
        <v>385</v>
      </c>
      <c r="P19" s="65">
        <v>2.3599999999999999E-2</v>
      </c>
      <c r="Q19" s="65">
        <f>P19*N19</f>
        <v>2.36</v>
      </c>
      <c r="R19" s="62"/>
      <c r="S19" s="62"/>
    </row>
    <row r="20" spans="1:19" s="87" customFormat="1" ht="24" x14ac:dyDescent="0.25">
      <c r="A20" s="85"/>
      <c r="B20" s="44">
        <f>ROW(B20) - ROW($B$9)</f>
        <v>11</v>
      </c>
      <c r="C20" s="60" t="s">
        <v>9</v>
      </c>
      <c r="D20" s="37" t="s">
        <v>419</v>
      </c>
      <c r="E20" s="37" t="s">
        <v>420</v>
      </c>
      <c r="F20" s="37" t="s">
        <v>384</v>
      </c>
      <c r="G20" s="37" t="s">
        <v>421</v>
      </c>
      <c r="H20" s="37" t="s">
        <v>251</v>
      </c>
      <c r="I20" s="37" t="s">
        <v>372</v>
      </c>
      <c r="J20" s="37" t="s">
        <v>422</v>
      </c>
      <c r="K20" s="37" t="s">
        <v>423</v>
      </c>
      <c r="L20" s="37">
        <v>1</v>
      </c>
      <c r="M20" s="37">
        <f t="shared" si="1"/>
        <v>40</v>
      </c>
      <c r="N20" s="37">
        <v>42</v>
      </c>
      <c r="O20" s="55" t="s">
        <v>385</v>
      </c>
      <c r="P20" s="72">
        <v>0.35399999999999998</v>
      </c>
      <c r="Q20" s="72">
        <f>P20*N20</f>
        <v>14.867999999999999</v>
      </c>
      <c r="R20" s="37"/>
      <c r="S20" s="74"/>
    </row>
    <row r="21" spans="1:19" s="87" customFormat="1" x14ac:dyDescent="0.25">
      <c r="A21" s="85"/>
      <c r="B21" s="44">
        <v>12</v>
      </c>
      <c r="C21" s="60" t="s">
        <v>9</v>
      </c>
      <c r="D21" s="62" t="s">
        <v>446</v>
      </c>
      <c r="E21" s="62" t="s">
        <v>447</v>
      </c>
      <c r="F21" s="62" t="s">
        <v>401</v>
      </c>
      <c r="G21" s="62" t="s">
        <v>448</v>
      </c>
      <c r="H21" s="62" t="s">
        <v>249</v>
      </c>
      <c r="I21" s="62" t="s">
        <v>372</v>
      </c>
      <c r="J21" s="62" t="s">
        <v>449</v>
      </c>
      <c r="K21" s="62" t="s">
        <v>450</v>
      </c>
      <c r="L21" s="62">
        <v>2</v>
      </c>
      <c r="M21" s="37">
        <f t="shared" si="1"/>
        <v>80</v>
      </c>
      <c r="N21" s="37">
        <v>100</v>
      </c>
      <c r="O21" s="55" t="s">
        <v>385</v>
      </c>
      <c r="P21" s="72">
        <v>3.2399999999999998E-2</v>
      </c>
      <c r="Q21" s="72">
        <f>P21*N21</f>
        <v>3.2399999999999998</v>
      </c>
      <c r="R21" s="37"/>
      <c r="S21" s="37"/>
    </row>
    <row r="22" spans="1:19" s="87" customFormat="1" ht="24" x14ac:dyDescent="0.25">
      <c r="A22" s="85"/>
      <c r="B22" s="45">
        <f t="shared" si="0"/>
        <v>13</v>
      </c>
      <c r="C22" s="56" t="s">
        <v>10</v>
      </c>
      <c r="D22" s="58" t="s">
        <v>34</v>
      </c>
      <c r="E22" s="58" t="s">
        <v>97</v>
      </c>
      <c r="F22" s="58" t="s">
        <v>158</v>
      </c>
      <c r="G22" s="58" t="s">
        <v>201</v>
      </c>
      <c r="H22" s="58" t="s">
        <v>253</v>
      </c>
      <c r="I22" s="58" t="s">
        <v>372</v>
      </c>
      <c r="J22" s="58" t="s">
        <v>291</v>
      </c>
      <c r="K22" s="58" t="s">
        <v>372</v>
      </c>
      <c r="L22" s="58">
        <v>7</v>
      </c>
      <c r="M22" s="37">
        <f t="shared" si="1"/>
        <v>280</v>
      </c>
      <c r="N22" s="58">
        <v>290</v>
      </c>
      <c r="O22" s="55" t="s">
        <v>385</v>
      </c>
      <c r="P22" s="59">
        <v>5.0200000000000002E-2</v>
      </c>
      <c r="Q22" s="59">
        <f t="shared" ref="Q22" si="6">P22*N22</f>
        <v>14.558</v>
      </c>
      <c r="R22" s="57"/>
      <c r="S22" s="37"/>
    </row>
    <row r="23" spans="1:19" s="87" customFormat="1" ht="36" x14ac:dyDescent="0.25">
      <c r="A23" s="85"/>
      <c r="B23" s="44">
        <f>ROW(B23) - ROW($B$9)</f>
        <v>14</v>
      </c>
      <c r="C23" s="60" t="s">
        <v>10</v>
      </c>
      <c r="D23" s="61" t="s">
        <v>35</v>
      </c>
      <c r="E23" s="62" t="s">
        <v>98</v>
      </c>
      <c r="F23" s="62" t="s">
        <v>159</v>
      </c>
      <c r="G23" s="62" t="s">
        <v>202</v>
      </c>
      <c r="H23" s="62" t="s">
        <v>254</v>
      </c>
      <c r="I23" s="62" t="s">
        <v>372</v>
      </c>
      <c r="J23" s="62" t="s">
        <v>292</v>
      </c>
      <c r="K23" s="62" t="s">
        <v>372</v>
      </c>
      <c r="L23" s="62">
        <v>2</v>
      </c>
      <c r="M23" s="37">
        <f t="shared" si="1"/>
        <v>80</v>
      </c>
      <c r="N23" s="62">
        <v>85</v>
      </c>
      <c r="O23" s="64" t="s">
        <v>385</v>
      </c>
      <c r="P23" s="65">
        <v>7.0999999999999994E-2</v>
      </c>
      <c r="Q23" s="65">
        <f>P23*N23</f>
        <v>6.0349999999999993</v>
      </c>
      <c r="R23" s="62"/>
      <c r="S23" s="37"/>
    </row>
    <row r="24" spans="1:19" s="87" customFormat="1" ht="48" x14ac:dyDescent="0.25">
      <c r="A24" s="85"/>
      <c r="B24" s="45">
        <f t="shared" si="0"/>
        <v>15</v>
      </c>
      <c r="C24" s="56" t="s">
        <v>10</v>
      </c>
      <c r="D24" s="58" t="s">
        <v>36</v>
      </c>
      <c r="E24" s="58" t="s">
        <v>99</v>
      </c>
      <c r="F24" s="58" t="s">
        <v>160</v>
      </c>
      <c r="G24" s="58" t="s">
        <v>203</v>
      </c>
      <c r="H24" s="58" t="s">
        <v>255</v>
      </c>
      <c r="I24" s="58" t="s">
        <v>372</v>
      </c>
      <c r="J24" s="58" t="s">
        <v>293</v>
      </c>
      <c r="K24" s="58" t="s">
        <v>372</v>
      </c>
      <c r="L24" s="58">
        <v>1</v>
      </c>
      <c r="M24" s="37">
        <f t="shared" si="1"/>
        <v>40</v>
      </c>
      <c r="N24" s="58">
        <v>60</v>
      </c>
      <c r="O24" s="55" t="s">
        <v>385</v>
      </c>
      <c r="P24" s="59">
        <v>2.8199999999999999E-2</v>
      </c>
      <c r="Q24" s="59">
        <f t="shared" ref="Q24" si="7">P24*N24</f>
        <v>1.6919999999999999</v>
      </c>
      <c r="R24" s="57"/>
      <c r="S24" s="37"/>
    </row>
    <row r="25" spans="1:19" s="87" customFormat="1" ht="36" x14ac:dyDescent="0.25">
      <c r="A25" s="85"/>
      <c r="B25" s="44">
        <f>ROW(B25) - ROW($B$9)</f>
        <v>16</v>
      </c>
      <c r="C25" s="60" t="s">
        <v>10</v>
      </c>
      <c r="D25" s="61" t="s">
        <v>37</v>
      </c>
      <c r="E25" s="62" t="s">
        <v>393</v>
      </c>
      <c r="F25" s="62" t="s">
        <v>394</v>
      </c>
      <c r="G25" s="62" t="s">
        <v>204</v>
      </c>
      <c r="H25" s="62" t="s">
        <v>256</v>
      </c>
      <c r="I25" s="62" t="s">
        <v>372</v>
      </c>
      <c r="J25" s="62" t="s">
        <v>395</v>
      </c>
      <c r="K25" s="62" t="s">
        <v>372</v>
      </c>
      <c r="L25" s="62">
        <v>1</v>
      </c>
      <c r="M25" s="37">
        <f t="shared" si="1"/>
        <v>40</v>
      </c>
      <c r="N25" s="62">
        <v>60</v>
      </c>
      <c r="O25" s="64" t="s">
        <v>385</v>
      </c>
      <c r="P25" s="65">
        <v>3.1600000000000003E-2</v>
      </c>
      <c r="Q25" s="65">
        <f>P25*N25</f>
        <v>1.8960000000000001</v>
      </c>
      <c r="R25" s="62"/>
      <c r="S25" s="37"/>
    </row>
    <row r="26" spans="1:19" s="87" customFormat="1" ht="24" x14ac:dyDescent="0.25">
      <c r="A26" s="85"/>
      <c r="B26" s="45">
        <f t="shared" si="0"/>
        <v>17</v>
      </c>
      <c r="C26" s="56" t="s">
        <v>10</v>
      </c>
      <c r="D26" s="58" t="s">
        <v>38</v>
      </c>
      <c r="E26" s="58" t="s">
        <v>100</v>
      </c>
      <c r="F26" s="58" t="s">
        <v>161</v>
      </c>
      <c r="G26" s="58" t="s">
        <v>205</v>
      </c>
      <c r="H26" s="58" t="s">
        <v>257</v>
      </c>
      <c r="I26" s="58" t="s">
        <v>372</v>
      </c>
      <c r="J26" s="58" t="s">
        <v>294</v>
      </c>
      <c r="K26" s="58" t="s">
        <v>372</v>
      </c>
      <c r="L26" s="58">
        <v>8</v>
      </c>
      <c r="M26" s="37">
        <f t="shared" si="1"/>
        <v>320</v>
      </c>
      <c r="N26" s="58">
        <v>340</v>
      </c>
      <c r="O26" s="55" t="s">
        <v>385</v>
      </c>
      <c r="P26" s="59">
        <v>1.11E-2</v>
      </c>
      <c r="Q26" s="59">
        <f t="shared" ref="Q26" si="8">P26*N26</f>
        <v>3.774</v>
      </c>
      <c r="R26" s="57"/>
      <c r="S26" s="37"/>
    </row>
    <row r="27" spans="1:19" s="87" customFormat="1" ht="24" x14ac:dyDescent="0.25">
      <c r="A27" s="85"/>
      <c r="B27" s="44">
        <f>ROW(B27) - ROW($B$9)</f>
        <v>18</v>
      </c>
      <c r="C27" s="60" t="s">
        <v>10</v>
      </c>
      <c r="D27" s="61" t="s">
        <v>39</v>
      </c>
      <c r="E27" s="62" t="s">
        <v>101</v>
      </c>
      <c r="F27" s="62" t="s">
        <v>162</v>
      </c>
      <c r="G27" s="62" t="s">
        <v>206</v>
      </c>
      <c r="H27" s="62" t="s">
        <v>258</v>
      </c>
      <c r="I27" s="62" t="s">
        <v>372</v>
      </c>
      <c r="J27" s="62" t="s">
        <v>295</v>
      </c>
      <c r="K27" s="62" t="s">
        <v>372</v>
      </c>
      <c r="L27" s="62">
        <v>1</v>
      </c>
      <c r="M27" s="37">
        <f t="shared" si="1"/>
        <v>40</v>
      </c>
      <c r="N27" s="62">
        <v>45</v>
      </c>
      <c r="O27" s="64" t="s">
        <v>385</v>
      </c>
      <c r="P27" s="65">
        <v>9.35E-2</v>
      </c>
      <c r="Q27" s="65">
        <f>P27*N27</f>
        <v>4.2074999999999996</v>
      </c>
      <c r="R27" s="62"/>
      <c r="S27" s="62"/>
    </row>
    <row r="28" spans="1:19" s="87" customFormat="1" ht="36" x14ac:dyDescent="0.25">
      <c r="A28" s="85"/>
      <c r="B28" s="45">
        <f t="shared" si="0"/>
        <v>19</v>
      </c>
      <c r="C28" s="56" t="s">
        <v>10</v>
      </c>
      <c r="D28" s="58" t="s">
        <v>40</v>
      </c>
      <c r="E28" s="58" t="s">
        <v>102</v>
      </c>
      <c r="F28" s="58" t="s">
        <v>163</v>
      </c>
      <c r="G28" s="58" t="s">
        <v>207</v>
      </c>
      <c r="H28" s="58" t="s">
        <v>259</v>
      </c>
      <c r="I28" s="58" t="s">
        <v>372</v>
      </c>
      <c r="J28" s="58" t="s">
        <v>296</v>
      </c>
      <c r="K28" s="58" t="s">
        <v>372</v>
      </c>
      <c r="L28" s="58">
        <v>3</v>
      </c>
      <c r="M28" s="37">
        <f t="shared" si="1"/>
        <v>120</v>
      </c>
      <c r="N28" s="58">
        <v>140</v>
      </c>
      <c r="O28" s="55" t="s">
        <v>385</v>
      </c>
      <c r="P28" s="59">
        <v>3.1699999999999999E-2</v>
      </c>
      <c r="Q28" s="59">
        <f t="shared" ref="Q28" si="9">P28*N28</f>
        <v>4.4379999999999997</v>
      </c>
      <c r="R28" s="57"/>
      <c r="S28" s="37"/>
    </row>
    <row r="29" spans="1:19" s="87" customFormat="1" x14ac:dyDescent="0.25">
      <c r="A29" s="85"/>
      <c r="B29" s="44">
        <f>ROW(B29) - ROW($B$9)</f>
        <v>20</v>
      </c>
      <c r="C29" s="60" t="s">
        <v>11</v>
      </c>
      <c r="D29" s="61" t="s">
        <v>41</v>
      </c>
      <c r="E29" s="62" t="s">
        <v>103</v>
      </c>
      <c r="F29" s="62" t="s">
        <v>164</v>
      </c>
      <c r="G29" s="62" t="s">
        <v>208</v>
      </c>
      <c r="H29" s="62" t="s">
        <v>260</v>
      </c>
      <c r="I29" s="62" t="s">
        <v>372</v>
      </c>
      <c r="J29" s="62" t="s">
        <v>297</v>
      </c>
      <c r="K29" s="62" t="s">
        <v>372</v>
      </c>
      <c r="L29" s="62">
        <v>1</v>
      </c>
      <c r="M29" s="37">
        <f t="shared" si="1"/>
        <v>40</v>
      </c>
      <c r="N29" s="62">
        <v>50</v>
      </c>
      <c r="O29" s="64" t="s">
        <v>385</v>
      </c>
      <c r="P29" s="65">
        <v>3.5400000000000001E-2</v>
      </c>
      <c r="Q29" s="65">
        <f>P29*N29</f>
        <v>1.77</v>
      </c>
      <c r="R29" s="62"/>
      <c r="S29" s="62"/>
    </row>
    <row r="30" spans="1:19" s="87" customFormat="1" ht="24" x14ac:dyDescent="0.25">
      <c r="A30" s="85"/>
      <c r="B30" s="45">
        <f t="shared" si="0"/>
        <v>21</v>
      </c>
      <c r="C30" s="56" t="s">
        <v>10</v>
      </c>
      <c r="D30" s="58" t="s">
        <v>42</v>
      </c>
      <c r="E30" s="58" t="s">
        <v>104</v>
      </c>
      <c r="F30" s="58" t="s">
        <v>163</v>
      </c>
      <c r="G30" s="58" t="s">
        <v>209</v>
      </c>
      <c r="H30" s="58" t="s">
        <v>254</v>
      </c>
      <c r="I30" s="58" t="s">
        <v>372</v>
      </c>
      <c r="J30" s="58" t="s">
        <v>298</v>
      </c>
      <c r="K30" s="58" t="s">
        <v>372</v>
      </c>
      <c r="L30" s="58">
        <v>5</v>
      </c>
      <c r="M30" s="37">
        <f t="shared" si="1"/>
        <v>200</v>
      </c>
      <c r="N30" s="58">
        <v>250</v>
      </c>
      <c r="O30" s="55" t="s">
        <v>385</v>
      </c>
      <c r="P30" s="59">
        <v>1.7999999999999999E-2</v>
      </c>
      <c r="Q30" s="59">
        <f t="shared" ref="Q30" si="10">P30*N30</f>
        <v>4.5</v>
      </c>
      <c r="R30" s="57"/>
      <c r="S30" s="37"/>
    </row>
    <row r="31" spans="1:19" s="87" customFormat="1" ht="24" x14ac:dyDescent="0.25">
      <c r="A31" s="85"/>
      <c r="B31" s="44">
        <f>ROW(B31) - ROW($B$9)</f>
        <v>22</v>
      </c>
      <c r="C31" s="60" t="s">
        <v>12</v>
      </c>
      <c r="D31" s="61" t="s">
        <v>43</v>
      </c>
      <c r="E31" s="62" t="s">
        <v>105</v>
      </c>
      <c r="F31" s="62" t="s">
        <v>165</v>
      </c>
      <c r="G31" s="62" t="s">
        <v>210</v>
      </c>
      <c r="H31" s="62" t="s">
        <v>261</v>
      </c>
      <c r="I31" s="62" t="s">
        <v>372</v>
      </c>
      <c r="J31" s="62" t="s">
        <v>299</v>
      </c>
      <c r="K31" s="62" t="s">
        <v>372</v>
      </c>
      <c r="L31" s="62">
        <v>1</v>
      </c>
      <c r="M31" s="37">
        <f t="shared" si="1"/>
        <v>40</v>
      </c>
      <c r="N31" s="62">
        <v>45</v>
      </c>
      <c r="O31" s="64" t="s">
        <v>385</v>
      </c>
      <c r="P31" s="65">
        <v>0.22259999999999999</v>
      </c>
      <c r="Q31" s="65">
        <f>P31*N31</f>
        <v>10.016999999999999</v>
      </c>
      <c r="R31" s="62"/>
      <c r="S31" s="62"/>
    </row>
    <row r="32" spans="1:19" s="87" customFormat="1" ht="24" x14ac:dyDescent="0.25">
      <c r="A32" s="85"/>
      <c r="B32" s="45">
        <f t="shared" si="0"/>
        <v>23</v>
      </c>
      <c r="C32" s="56" t="s">
        <v>12</v>
      </c>
      <c r="D32" s="58" t="s">
        <v>44</v>
      </c>
      <c r="E32" s="58" t="s">
        <v>106</v>
      </c>
      <c r="F32" s="58" t="s">
        <v>166</v>
      </c>
      <c r="G32" s="58" t="s">
        <v>211</v>
      </c>
      <c r="H32" s="58" t="s">
        <v>262</v>
      </c>
      <c r="I32" s="58" t="s">
        <v>372</v>
      </c>
      <c r="J32" s="58" t="s">
        <v>390</v>
      </c>
      <c r="K32" s="58" t="s">
        <v>372</v>
      </c>
      <c r="L32" s="58">
        <v>2</v>
      </c>
      <c r="M32" s="37">
        <f t="shared" si="1"/>
        <v>80</v>
      </c>
      <c r="N32" s="58">
        <v>90</v>
      </c>
      <c r="O32" s="55" t="s">
        <v>385</v>
      </c>
      <c r="P32" s="59">
        <v>4.7399999999999998E-2</v>
      </c>
      <c r="Q32" s="59">
        <f t="shared" ref="Q32" si="11">P32*N32</f>
        <v>4.266</v>
      </c>
      <c r="R32" s="57"/>
      <c r="S32" s="37"/>
    </row>
    <row r="33" spans="1:19" s="87" customFormat="1" ht="24" x14ac:dyDescent="0.25">
      <c r="A33" s="85"/>
      <c r="B33" s="44">
        <f>ROW(B33) - ROW($B$9)</f>
        <v>24</v>
      </c>
      <c r="C33" s="60" t="s">
        <v>13</v>
      </c>
      <c r="D33" s="61" t="s">
        <v>45</v>
      </c>
      <c r="E33" s="62" t="s">
        <v>107</v>
      </c>
      <c r="F33" s="62" t="s">
        <v>167</v>
      </c>
      <c r="G33" s="62" t="s">
        <v>212</v>
      </c>
      <c r="H33" s="62" t="s">
        <v>252</v>
      </c>
      <c r="I33" s="62" t="s">
        <v>372</v>
      </c>
      <c r="J33" s="62" t="s">
        <v>300</v>
      </c>
      <c r="K33" s="62" t="s">
        <v>350</v>
      </c>
      <c r="L33" s="62">
        <v>1</v>
      </c>
      <c r="M33" s="37">
        <f t="shared" si="1"/>
        <v>40</v>
      </c>
      <c r="N33" s="62">
        <v>45</v>
      </c>
      <c r="O33" s="64" t="s">
        <v>385</v>
      </c>
      <c r="P33" s="65">
        <v>9.4100000000000003E-2</v>
      </c>
      <c r="Q33" s="65">
        <f>P33*N33</f>
        <v>4.2344999999999997</v>
      </c>
      <c r="R33" s="62"/>
      <c r="S33" s="62"/>
    </row>
    <row r="34" spans="1:19" s="87" customFormat="1" ht="24" x14ac:dyDescent="0.25">
      <c r="A34" s="85"/>
      <c r="B34" s="45">
        <f t="shared" si="0"/>
        <v>25</v>
      </c>
      <c r="C34" s="56" t="s">
        <v>13</v>
      </c>
      <c r="D34" s="58" t="s">
        <v>46</v>
      </c>
      <c r="E34" s="58" t="s">
        <v>108</v>
      </c>
      <c r="F34" s="58" t="s">
        <v>168</v>
      </c>
      <c r="G34" s="58" t="s">
        <v>213</v>
      </c>
      <c r="H34" s="58" t="s">
        <v>250</v>
      </c>
      <c r="I34" s="58" t="s">
        <v>372</v>
      </c>
      <c r="J34" s="58" t="s">
        <v>301</v>
      </c>
      <c r="K34" s="58" t="s">
        <v>372</v>
      </c>
      <c r="L34" s="58">
        <v>8</v>
      </c>
      <c r="M34" s="37">
        <f t="shared" si="1"/>
        <v>320</v>
      </c>
      <c r="N34" s="58">
        <v>330</v>
      </c>
      <c r="O34" s="55" t="s">
        <v>385</v>
      </c>
      <c r="P34" s="59">
        <v>3.32E-2</v>
      </c>
      <c r="Q34" s="59">
        <f t="shared" ref="Q34" si="12">P34*N34</f>
        <v>10.956</v>
      </c>
      <c r="R34" s="57"/>
      <c r="S34" s="37"/>
    </row>
    <row r="35" spans="1:19" s="87" customFormat="1" ht="24" x14ac:dyDescent="0.25">
      <c r="A35" s="85"/>
      <c r="B35" s="44">
        <f>ROW(B35) - ROW($B$9)</f>
        <v>26</v>
      </c>
      <c r="C35" s="60" t="s">
        <v>14</v>
      </c>
      <c r="D35" s="61" t="s">
        <v>411</v>
      </c>
      <c r="E35" s="62" t="s">
        <v>109</v>
      </c>
      <c r="F35" s="62" t="s">
        <v>384</v>
      </c>
      <c r="G35" s="62" t="s">
        <v>214</v>
      </c>
      <c r="H35" s="62" t="s">
        <v>263</v>
      </c>
      <c r="I35" s="62" t="s">
        <v>372</v>
      </c>
      <c r="J35" s="62" t="s">
        <v>302</v>
      </c>
      <c r="K35" s="62" t="s">
        <v>372</v>
      </c>
      <c r="L35" s="62">
        <v>2</v>
      </c>
      <c r="M35" s="37">
        <f t="shared" si="1"/>
        <v>80</v>
      </c>
      <c r="N35" s="62">
        <v>82</v>
      </c>
      <c r="O35" s="64" t="s">
        <v>385</v>
      </c>
      <c r="P35" s="65">
        <v>0.1532</v>
      </c>
      <c r="Q35" s="65">
        <f>P35*N35</f>
        <v>12.5624</v>
      </c>
      <c r="R35" s="62"/>
      <c r="S35" s="62"/>
    </row>
    <row r="36" spans="1:19" s="87" customFormat="1" ht="24" x14ac:dyDescent="0.25">
      <c r="A36" s="85"/>
      <c r="B36" s="45">
        <f t="shared" ref="B36" si="13">ROW(B36) - ROW($B$9)</f>
        <v>27</v>
      </c>
      <c r="C36" s="56" t="s">
        <v>14</v>
      </c>
      <c r="D36" s="58" t="s">
        <v>406</v>
      </c>
      <c r="E36" s="58" t="s">
        <v>407</v>
      </c>
      <c r="F36" s="58">
        <v>1051330011</v>
      </c>
      <c r="G36" s="58" t="s">
        <v>408</v>
      </c>
      <c r="H36" s="58" t="s">
        <v>409</v>
      </c>
      <c r="I36" s="58" t="s">
        <v>372</v>
      </c>
      <c r="J36" s="58" t="s">
        <v>410</v>
      </c>
      <c r="K36" s="58" t="s">
        <v>372</v>
      </c>
      <c r="L36" s="58">
        <v>1</v>
      </c>
      <c r="M36" s="37">
        <f t="shared" si="1"/>
        <v>40</v>
      </c>
      <c r="N36" s="58">
        <v>42</v>
      </c>
      <c r="O36" s="55" t="s">
        <v>385</v>
      </c>
      <c r="P36" s="59">
        <v>0.28639999999999999</v>
      </c>
      <c r="Q36" s="59">
        <f t="shared" ref="Q36:Q37" si="14">P36*N36</f>
        <v>12.0288</v>
      </c>
      <c r="R36" s="57"/>
      <c r="S36" s="37"/>
    </row>
    <row r="37" spans="1:19" s="87" customFormat="1" ht="24" x14ac:dyDescent="0.25">
      <c r="A37" s="85"/>
      <c r="B37" s="45">
        <f t="shared" si="0"/>
        <v>28</v>
      </c>
      <c r="C37" s="60" t="s">
        <v>15</v>
      </c>
      <c r="D37" s="61" t="s">
        <v>47</v>
      </c>
      <c r="E37" s="62" t="s">
        <v>412</v>
      </c>
      <c r="F37" s="62" t="s">
        <v>384</v>
      </c>
      <c r="G37" s="62" t="s">
        <v>413</v>
      </c>
      <c r="H37" s="62" t="s">
        <v>414</v>
      </c>
      <c r="I37" s="62"/>
      <c r="J37" s="62" t="s">
        <v>415</v>
      </c>
      <c r="K37" s="62" t="s">
        <v>372</v>
      </c>
      <c r="L37" s="62">
        <v>6</v>
      </c>
      <c r="M37" s="37">
        <f t="shared" si="1"/>
        <v>240</v>
      </c>
      <c r="N37" s="62">
        <v>242</v>
      </c>
      <c r="O37" s="64" t="s">
        <v>385</v>
      </c>
      <c r="P37" s="65">
        <v>0.49320000000000003</v>
      </c>
      <c r="Q37" s="65">
        <f t="shared" si="14"/>
        <v>119.35440000000001</v>
      </c>
      <c r="R37" s="66" t="s">
        <v>418</v>
      </c>
      <c r="S37" s="62"/>
    </row>
    <row r="38" spans="1:19" s="87" customFormat="1" ht="24" x14ac:dyDescent="0.25">
      <c r="A38" s="85"/>
      <c r="B38" s="44">
        <f>ROW(B38) - ROW($B$9)</f>
        <v>29</v>
      </c>
      <c r="C38" s="56" t="s">
        <v>387</v>
      </c>
      <c r="D38" s="58" t="s">
        <v>48</v>
      </c>
      <c r="E38" s="58" t="s">
        <v>110</v>
      </c>
      <c r="F38" s="58" t="s">
        <v>384</v>
      </c>
      <c r="G38" s="58" t="s">
        <v>215</v>
      </c>
      <c r="H38" s="58" t="s">
        <v>264</v>
      </c>
      <c r="I38" s="58" t="s">
        <v>372</v>
      </c>
      <c r="J38" s="58" t="s">
        <v>303</v>
      </c>
      <c r="K38" s="58" t="s">
        <v>372</v>
      </c>
      <c r="L38" s="58">
        <v>2</v>
      </c>
      <c r="M38" s="37">
        <f t="shared" si="1"/>
        <v>80</v>
      </c>
      <c r="N38" s="58">
        <v>85</v>
      </c>
      <c r="O38" s="55" t="s">
        <v>385</v>
      </c>
      <c r="P38" s="59">
        <v>6.4799999999999996E-2</v>
      </c>
      <c r="Q38" s="59">
        <f>P38*N38</f>
        <v>5.508</v>
      </c>
      <c r="R38" s="57"/>
      <c r="S38" s="37"/>
    </row>
    <row r="39" spans="1:19" s="87" customFormat="1" ht="60" x14ac:dyDescent="0.25">
      <c r="A39" s="85"/>
      <c r="B39" s="45">
        <f t="shared" si="0"/>
        <v>30</v>
      </c>
      <c r="C39" s="60" t="s">
        <v>16</v>
      </c>
      <c r="D39" s="61" t="s">
        <v>49</v>
      </c>
      <c r="E39" s="62" t="s">
        <v>111</v>
      </c>
      <c r="F39" s="62" t="s">
        <v>384</v>
      </c>
      <c r="G39" s="62" t="s">
        <v>169</v>
      </c>
      <c r="H39" s="62" t="s">
        <v>265</v>
      </c>
      <c r="I39" s="62" t="s">
        <v>372</v>
      </c>
      <c r="J39" s="62" t="s">
        <v>304</v>
      </c>
      <c r="K39" s="62" t="s">
        <v>372</v>
      </c>
      <c r="L39" s="62">
        <v>1</v>
      </c>
      <c r="M39" s="37">
        <f t="shared" si="1"/>
        <v>40</v>
      </c>
      <c r="N39" s="62">
        <v>42</v>
      </c>
      <c r="O39" s="64" t="s">
        <v>385</v>
      </c>
      <c r="P39" s="65">
        <v>0.49480000000000002</v>
      </c>
      <c r="Q39" s="65">
        <f t="shared" ref="Q39" si="15">P39*N39</f>
        <v>20.781600000000001</v>
      </c>
      <c r="R39" s="62"/>
      <c r="S39" s="62"/>
    </row>
    <row r="40" spans="1:19" s="87" customFormat="1" ht="48" x14ac:dyDescent="0.25">
      <c r="A40" s="85"/>
      <c r="B40" s="44">
        <f>ROW(B40) - ROW($B$9)</f>
        <v>31</v>
      </c>
      <c r="C40" s="56" t="s">
        <v>17</v>
      </c>
      <c r="D40" s="58" t="s">
        <v>50</v>
      </c>
      <c r="E40" s="58" t="s">
        <v>112</v>
      </c>
      <c r="F40" s="58" t="s">
        <v>384</v>
      </c>
      <c r="G40" s="58" t="s">
        <v>170</v>
      </c>
      <c r="H40" s="58" t="s">
        <v>266</v>
      </c>
      <c r="I40" s="58" t="s">
        <v>372</v>
      </c>
      <c r="J40" s="58" t="s">
        <v>305</v>
      </c>
      <c r="K40" s="58" t="s">
        <v>372</v>
      </c>
      <c r="L40" s="58">
        <v>1</v>
      </c>
      <c r="M40" s="37">
        <f t="shared" si="1"/>
        <v>40</v>
      </c>
      <c r="N40" s="58">
        <v>45</v>
      </c>
      <c r="O40" s="55" t="s">
        <v>385</v>
      </c>
      <c r="P40" s="59">
        <v>9.3600000000000003E-2</v>
      </c>
      <c r="Q40" s="59">
        <f>P40*N40</f>
        <v>4.2119999999999997</v>
      </c>
      <c r="R40" s="57"/>
      <c r="S40" s="37"/>
    </row>
    <row r="41" spans="1:19" s="87" customFormat="1" ht="48" x14ac:dyDescent="0.25">
      <c r="A41" s="85"/>
      <c r="B41" s="45">
        <f t="shared" si="0"/>
        <v>32</v>
      </c>
      <c r="C41" s="60" t="s">
        <v>17</v>
      </c>
      <c r="D41" s="61" t="s">
        <v>51</v>
      </c>
      <c r="E41" s="62" t="s">
        <v>113</v>
      </c>
      <c r="F41" s="62" t="s">
        <v>384</v>
      </c>
      <c r="G41" s="62" t="s">
        <v>171</v>
      </c>
      <c r="H41" s="62" t="s">
        <v>266</v>
      </c>
      <c r="I41" s="62" t="s">
        <v>372</v>
      </c>
      <c r="J41" s="62" t="s">
        <v>372</v>
      </c>
      <c r="K41" s="62" t="s">
        <v>372</v>
      </c>
      <c r="L41" s="62">
        <v>1</v>
      </c>
      <c r="M41" s="37">
        <f t="shared" si="1"/>
        <v>40</v>
      </c>
      <c r="N41" s="62">
        <v>45</v>
      </c>
      <c r="O41" s="64" t="s">
        <v>385</v>
      </c>
      <c r="P41" s="65" t="s">
        <v>372</v>
      </c>
      <c r="Q41" s="65" t="s">
        <v>372</v>
      </c>
      <c r="R41" s="66" t="s">
        <v>436</v>
      </c>
      <c r="S41" s="62"/>
    </row>
    <row r="42" spans="1:19" s="87" customFormat="1" ht="25.5" x14ac:dyDescent="0.25">
      <c r="A42" s="85"/>
      <c r="B42" s="44">
        <f>ROW(B42) - ROW($B$9)</f>
        <v>33</v>
      </c>
      <c r="C42" s="56" t="s">
        <v>18</v>
      </c>
      <c r="D42" s="58" t="s">
        <v>52</v>
      </c>
      <c r="E42" s="58" t="s">
        <v>114</v>
      </c>
      <c r="F42" s="58" t="s">
        <v>384</v>
      </c>
      <c r="G42" s="58" t="s">
        <v>172</v>
      </c>
      <c r="H42" s="58" t="s">
        <v>264</v>
      </c>
      <c r="I42" s="58" t="s">
        <v>372</v>
      </c>
      <c r="J42" s="58" t="s">
        <v>306</v>
      </c>
      <c r="K42" s="58" t="s">
        <v>372</v>
      </c>
      <c r="L42" s="58">
        <v>1</v>
      </c>
      <c r="M42" s="37">
        <f t="shared" si="1"/>
        <v>40</v>
      </c>
      <c r="N42" s="58">
        <v>42</v>
      </c>
      <c r="O42" s="55" t="s">
        <v>385</v>
      </c>
      <c r="P42" s="59">
        <v>1.1438999999999999</v>
      </c>
      <c r="Q42" s="59">
        <f>P42*N42</f>
        <v>48.043799999999997</v>
      </c>
      <c r="R42" s="57"/>
      <c r="S42" s="37"/>
    </row>
    <row r="43" spans="1:19" s="87" customFormat="1" ht="24" x14ac:dyDescent="0.25">
      <c r="A43" s="85"/>
      <c r="B43" s="45">
        <f t="shared" si="0"/>
        <v>34</v>
      </c>
      <c r="C43" s="60" t="s">
        <v>19</v>
      </c>
      <c r="D43" s="61" t="s">
        <v>53</v>
      </c>
      <c r="E43" s="62" t="s">
        <v>115</v>
      </c>
      <c r="F43" s="62" t="s">
        <v>384</v>
      </c>
      <c r="G43" s="62" t="s">
        <v>173</v>
      </c>
      <c r="H43" s="62" t="s">
        <v>267</v>
      </c>
      <c r="I43" s="62" t="s">
        <v>372</v>
      </c>
      <c r="J43" s="62" t="s">
        <v>307</v>
      </c>
      <c r="K43" s="62" t="s">
        <v>351</v>
      </c>
      <c r="L43" s="62">
        <v>1</v>
      </c>
      <c r="M43" s="37">
        <f t="shared" si="1"/>
        <v>40</v>
      </c>
      <c r="N43" s="62">
        <v>45</v>
      </c>
      <c r="O43" s="64" t="s">
        <v>385</v>
      </c>
      <c r="P43" s="65">
        <v>0.19500000000000001</v>
      </c>
      <c r="Q43" s="65">
        <f t="shared" ref="Q43" si="16">P43*N43</f>
        <v>8.7750000000000004</v>
      </c>
      <c r="R43" s="62"/>
      <c r="S43" s="62"/>
    </row>
    <row r="44" spans="1:19" s="87" customFormat="1" ht="36" x14ac:dyDescent="0.25">
      <c r="A44" s="85"/>
      <c r="B44" s="44">
        <f>ROW(B44) - ROW($B$9)</f>
        <v>35</v>
      </c>
      <c r="C44" s="56" t="s">
        <v>19</v>
      </c>
      <c r="D44" s="58" t="s">
        <v>54</v>
      </c>
      <c r="E44" s="58" t="s">
        <v>116</v>
      </c>
      <c r="F44" s="58" t="s">
        <v>384</v>
      </c>
      <c r="G44" s="58" t="s">
        <v>174</v>
      </c>
      <c r="H44" s="58" t="s">
        <v>268</v>
      </c>
      <c r="I44" s="58" t="s">
        <v>372</v>
      </c>
      <c r="J44" s="58" t="s">
        <v>308</v>
      </c>
      <c r="K44" s="58" t="s">
        <v>351</v>
      </c>
      <c r="L44" s="58">
        <v>1</v>
      </c>
      <c r="M44" s="37">
        <f t="shared" si="1"/>
        <v>40</v>
      </c>
      <c r="N44" s="58">
        <v>42</v>
      </c>
      <c r="O44" s="55" t="s">
        <v>385</v>
      </c>
      <c r="P44" s="59">
        <v>0.20810000000000001</v>
      </c>
      <c r="Q44" s="59">
        <f>P44*N44</f>
        <v>8.7401999999999997</v>
      </c>
      <c r="R44" s="57"/>
      <c r="S44" s="37"/>
    </row>
    <row r="45" spans="1:19" s="87" customFormat="1" ht="24" x14ac:dyDescent="0.25">
      <c r="A45" s="85"/>
      <c r="B45" s="45">
        <f t="shared" si="0"/>
        <v>36</v>
      </c>
      <c r="C45" s="60" t="s">
        <v>19</v>
      </c>
      <c r="D45" s="61" t="s">
        <v>55</v>
      </c>
      <c r="E45" s="62" t="s">
        <v>117</v>
      </c>
      <c r="F45" s="62" t="s">
        <v>175</v>
      </c>
      <c r="G45" s="62" t="s">
        <v>216</v>
      </c>
      <c r="H45" s="62" t="s">
        <v>252</v>
      </c>
      <c r="I45" s="62" t="s">
        <v>372</v>
      </c>
      <c r="J45" s="62" t="s">
        <v>309</v>
      </c>
      <c r="K45" s="62" t="s">
        <v>352</v>
      </c>
      <c r="L45" s="62">
        <v>1</v>
      </c>
      <c r="M45" s="37">
        <f t="shared" si="1"/>
        <v>40</v>
      </c>
      <c r="N45" s="62">
        <v>50</v>
      </c>
      <c r="O45" s="64" t="s">
        <v>385</v>
      </c>
      <c r="P45" s="65">
        <v>6.4600000000000005E-2</v>
      </c>
      <c r="Q45" s="65">
        <f t="shared" ref="Q45:Q46" si="17">P45*N45</f>
        <v>3.2300000000000004</v>
      </c>
      <c r="R45" s="62"/>
      <c r="S45" s="62"/>
    </row>
    <row r="46" spans="1:19" s="87" customFormat="1" ht="36" x14ac:dyDescent="0.25">
      <c r="A46" s="85"/>
      <c r="B46" s="45">
        <f t="shared" si="0"/>
        <v>37</v>
      </c>
      <c r="C46" s="56" t="s">
        <v>20</v>
      </c>
      <c r="D46" s="58" t="s">
        <v>396</v>
      </c>
      <c r="E46" s="58" t="s">
        <v>118</v>
      </c>
      <c r="F46" s="58" t="s">
        <v>176</v>
      </c>
      <c r="G46" s="58" t="s">
        <v>217</v>
      </c>
      <c r="H46" s="58" t="s">
        <v>269</v>
      </c>
      <c r="I46" s="58" t="s">
        <v>372</v>
      </c>
      <c r="J46" s="58" t="s">
        <v>310</v>
      </c>
      <c r="K46" s="58" t="s">
        <v>353</v>
      </c>
      <c r="L46" s="58">
        <v>3</v>
      </c>
      <c r="M46" s="37">
        <f t="shared" si="1"/>
        <v>120</v>
      </c>
      <c r="N46" s="58">
        <v>130</v>
      </c>
      <c r="O46" s="55" t="s">
        <v>385</v>
      </c>
      <c r="P46" s="59">
        <v>4.2599999999999999E-2</v>
      </c>
      <c r="Q46" s="59">
        <f t="shared" si="17"/>
        <v>5.5380000000000003</v>
      </c>
      <c r="R46" s="57"/>
      <c r="S46" s="37"/>
    </row>
    <row r="47" spans="1:19" s="87" customFormat="1" ht="36" x14ac:dyDescent="0.25">
      <c r="A47" s="85"/>
      <c r="B47" s="44">
        <f>ROW(B47) - ROW($B$9)</f>
        <v>38</v>
      </c>
      <c r="C47" s="60" t="s">
        <v>20</v>
      </c>
      <c r="D47" s="61" t="s">
        <v>397</v>
      </c>
      <c r="E47" s="62" t="s">
        <v>119</v>
      </c>
      <c r="F47" s="62" t="s">
        <v>176</v>
      </c>
      <c r="G47" s="62" t="s">
        <v>218</v>
      </c>
      <c r="H47" s="62" t="s">
        <v>269</v>
      </c>
      <c r="I47" s="62" t="s">
        <v>372</v>
      </c>
      <c r="J47" s="62" t="s">
        <v>311</v>
      </c>
      <c r="K47" s="62" t="s">
        <v>372</v>
      </c>
      <c r="L47" s="62">
        <v>4</v>
      </c>
      <c r="M47" s="37">
        <f t="shared" si="1"/>
        <v>160</v>
      </c>
      <c r="N47" s="62">
        <v>180</v>
      </c>
      <c r="O47" s="64" t="s">
        <v>385</v>
      </c>
      <c r="P47" s="65">
        <v>4.0099999999999997E-2</v>
      </c>
      <c r="Q47" s="65">
        <f>P47*N47</f>
        <v>7.2179999999999991</v>
      </c>
      <c r="R47" s="62"/>
      <c r="S47" s="62"/>
    </row>
    <row r="48" spans="1:19" s="87" customFormat="1" ht="45" x14ac:dyDescent="0.25">
      <c r="A48" s="85"/>
      <c r="B48" s="45">
        <f>ROW(B48) - ROW($B$9)</f>
        <v>39</v>
      </c>
      <c r="C48" s="56" t="s">
        <v>21</v>
      </c>
      <c r="D48" s="37" t="s">
        <v>56</v>
      </c>
      <c r="E48" s="37" t="s">
        <v>120</v>
      </c>
      <c r="F48" s="37" t="s">
        <v>177</v>
      </c>
      <c r="G48" s="37" t="s">
        <v>177</v>
      </c>
      <c r="H48" s="37" t="s">
        <v>270</v>
      </c>
      <c r="I48" s="58" t="s">
        <v>372</v>
      </c>
      <c r="J48" s="58" t="s">
        <v>372</v>
      </c>
      <c r="K48" s="58" t="s">
        <v>436</v>
      </c>
      <c r="L48" s="58">
        <v>1</v>
      </c>
      <c r="M48" s="37">
        <f t="shared" si="1"/>
        <v>40</v>
      </c>
      <c r="N48" s="58">
        <v>6</v>
      </c>
      <c r="O48" s="64" t="s">
        <v>270</v>
      </c>
      <c r="P48" s="59"/>
      <c r="Q48" s="59" t="s">
        <v>372</v>
      </c>
      <c r="R48" s="57" t="s">
        <v>436</v>
      </c>
      <c r="S48" s="37"/>
    </row>
    <row r="49" spans="1:19" s="87" customFormat="1" ht="45" x14ac:dyDescent="0.25">
      <c r="A49" s="85"/>
      <c r="B49" s="45">
        <f t="shared" si="0"/>
        <v>40</v>
      </c>
      <c r="C49" s="60" t="s">
        <v>21</v>
      </c>
      <c r="D49" s="62" t="s">
        <v>451</v>
      </c>
      <c r="E49" s="62" t="s">
        <v>120</v>
      </c>
      <c r="F49" s="62" t="s">
        <v>177</v>
      </c>
      <c r="G49" s="62" t="s">
        <v>177</v>
      </c>
      <c r="H49" s="62" t="s">
        <v>270</v>
      </c>
      <c r="I49" s="62"/>
      <c r="J49" s="62" t="s">
        <v>372</v>
      </c>
      <c r="K49" s="62" t="s">
        <v>372</v>
      </c>
      <c r="L49" s="62">
        <v>1</v>
      </c>
      <c r="M49" s="37">
        <f t="shared" si="1"/>
        <v>40</v>
      </c>
      <c r="N49" s="62">
        <v>40</v>
      </c>
      <c r="O49" s="64" t="s">
        <v>270</v>
      </c>
      <c r="P49" s="65">
        <v>13.9</v>
      </c>
      <c r="Q49" s="65">
        <f t="shared" ref="Q49" si="18">P49*N49</f>
        <v>556</v>
      </c>
      <c r="R49" s="62"/>
      <c r="S49" s="62"/>
    </row>
    <row r="50" spans="1:19" s="87" customFormat="1" x14ac:dyDescent="0.25">
      <c r="A50" s="85"/>
      <c r="B50" s="44">
        <f>ROW(B50) - ROW($B$9)</f>
        <v>41</v>
      </c>
      <c r="C50" s="67" t="s">
        <v>354</v>
      </c>
      <c r="D50" s="68" t="s">
        <v>57</v>
      </c>
      <c r="E50" s="68" t="s">
        <v>121</v>
      </c>
      <c r="F50" s="68" t="s">
        <v>178</v>
      </c>
      <c r="G50" s="68" t="s">
        <v>372</v>
      </c>
      <c r="H50" s="68" t="s">
        <v>372</v>
      </c>
      <c r="I50" s="68" t="s">
        <v>372</v>
      </c>
      <c r="J50" s="68" t="s">
        <v>372</v>
      </c>
      <c r="K50" s="68" t="s">
        <v>372</v>
      </c>
      <c r="L50" s="68">
        <v>6</v>
      </c>
      <c r="M50" s="37">
        <f t="shared" si="1"/>
        <v>240</v>
      </c>
      <c r="N50" s="68" t="s">
        <v>372</v>
      </c>
      <c r="O50" s="69" t="s">
        <v>372</v>
      </c>
      <c r="P50" s="70" t="s">
        <v>372</v>
      </c>
      <c r="Q50" s="70" t="s">
        <v>372</v>
      </c>
      <c r="R50" s="68" t="s">
        <v>436</v>
      </c>
      <c r="S50" s="68"/>
    </row>
    <row r="51" spans="1:19" s="87" customFormat="1" ht="72" x14ac:dyDescent="0.25">
      <c r="A51" s="85"/>
      <c r="B51" s="45">
        <f t="shared" si="0"/>
        <v>42</v>
      </c>
      <c r="C51" s="60" t="s">
        <v>22</v>
      </c>
      <c r="D51" s="61" t="s">
        <v>58</v>
      </c>
      <c r="E51" s="62" t="s">
        <v>122</v>
      </c>
      <c r="F51" s="62" t="s">
        <v>179</v>
      </c>
      <c r="G51" s="62" t="s">
        <v>219</v>
      </c>
      <c r="H51" s="62" t="s">
        <v>271</v>
      </c>
      <c r="I51" s="62" t="s">
        <v>372</v>
      </c>
      <c r="J51" s="62" t="s">
        <v>312</v>
      </c>
      <c r="K51" s="62" t="s">
        <v>372</v>
      </c>
      <c r="L51" s="62">
        <v>4</v>
      </c>
      <c r="M51" s="37">
        <f t="shared" si="1"/>
        <v>160</v>
      </c>
      <c r="N51" s="62">
        <v>180</v>
      </c>
      <c r="O51" s="64" t="s">
        <v>385</v>
      </c>
      <c r="P51" s="65">
        <v>3.3500000000000002E-2</v>
      </c>
      <c r="Q51" s="65">
        <f t="shared" ref="Q51" si="19">P51*N51</f>
        <v>6.03</v>
      </c>
      <c r="R51" s="62"/>
      <c r="S51" s="62"/>
    </row>
    <row r="52" spans="1:19" s="87" customFormat="1" ht="24" x14ac:dyDescent="0.25">
      <c r="A52" s="85"/>
      <c r="B52" s="44">
        <f>ROW(B52) - ROW($B$9)</f>
        <v>43</v>
      </c>
      <c r="C52" s="56" t="s">
        <v>23</v>
      </c>
      <c r="D52" s="58" t="s">
        <v>59</v>
      </c>
      <c r="E52" s="58" t="s">
        <v>123</v>
      </c>
      <c r="F52" s="58" t="s">
        <v>180</v>
      </c>
      <c r="G52" s="58" t="s">
        <v>220</v>
      </c>
      <c r="H52" s="58" t="s">
        <v>249</v>
      </c>
      <c r="I52" s="58" t="s">
        <v>391</v>
      </c>
      <c r="J52" s="58" t="s">
        <v>313</v>
      </c>
      <c r="K52" s="58" t="s">
        <v>355</v>
      </c>
      <c r="L52" s="58">
        <v>1</v>
      </c>
      <c r="M52" s="37">
        <f t="shared" si="1"/>
        <v>40</v>
      </c>
      <c r="N52" s="58">
        <v>60</v>
      </c>
      <c r="O52" s="55" t="s">
        <v>385</v>
      </c>
      <c r="P52" s="59">
        <v>2.93E-2</v>
      </c>
      <c r="Q52" s="59">
        <f>P52*N52</f>
        <v>1.758</v>
      </c>
      <c r="R52" s="57"/>
      <c r="S52" s="37"/>
    </row>
    <row r="53" spans="1:19" s="87" customFormat="1" ht="24" x14ac:dyDescent="0.25">
      <c r="A53" s="85"/>
      <c r="B53" s="45">
        <f t="shared" si="0"/>
        <v>44</v>
      </c>
      <c r="C53" s="60" t="s">
        <v>23</v>
      </c>
      <c r="D53" s="61" t="s">
        <v>60</v>
      </c>
      <c r="E53" s="62" t="s">
        <v>124</v>
      </c>
      <c r="F53" s="62" t="s">
        <v>180</v>
      </c>
      <c r="G53" s="62" t="s">
        <v>221</v>
      </c>
      <c r="H53" s="62" t="s">
        <v>249</v>
      </c>
      <c r="I53" s="62" t="s">
        <v>372</v>
      </c>
      <c r="J53" s="62" t="s">
        <v>314</v>
      </c>
      <c r="K53" s="62" t="s">
        <v>374</v>
      </c>
      <c r="L53" s="62">
        <v>1</v>
      </c>
      <c r="M53" s="37">
        <f t="shared" si="1"/>
        <v>40</v>
      </c>
      <c r="N53" s="62">
        <v>60</v>
      </c>
      <c r="O53" s="64" t="s">
        <v>385</v>
      </c>
      <c r="P53" s="65">
        <v>2.1600000000000001E-2</v>
      </c>
      <c r="Q53" s="65">
        <f t="shared" ref="Q53" si="20">P53*N53</f>
        <v>1.296</v>
      </c>
      <c r="R53" s="62"/>
      <c r="S53" s="62"/>
    </row>
    <row r="54" spans="1:19" s="87" customFormat="1" ht="24" x14ac:dyDescent="0.25">
      <c r="A54" s="85"/>
      <c r="B54" s="44">
        <f>ROW(B54) - ROW($B$9)</f>
        <v>45</v>
      </c>
      <c r="C54" s="56" t="s">
        <v>23</v>
      </c>
      <c r="D54" s="58" t="s">
        <v>452</v>
      </c>
      <c r="E54" s="58" t="s">
        <v>125</v>
      </c>
      <c r="F54" s="58" t="s">
        <v>180</v>
      </c>
      <c r="G54" s="58" t="s">
        <v>222</v>
      </c>
      <c r="H54" s="58" t="s">
        <v>249</v>
      </c>
      <c r="I54" s="58" t="s">
        <v>372</v>
      </c>
      <c r="J54" s="58" t="s">
        <v>315</v>
      </c>
      <c r="K54" s="58" t="s">
        <v>356</v>
      </c>
      <c r="L54" s="58">
        <v>14</v>
      </c>
      <c r="M54" s="37">
        <f t="shared" si="1"/>
        <v>560</v>
      </c>
      <c r="N54" s="58">
        <v>600</v>
      </c>
      <c r="O54" s="55" t="s">
        <v>385</v>
      </c>
      <c r="P54" s="59">
        <v>1E-3</v>
      </c>
      <c r="Q54" s="59">
        <f>P54*N54</f>
        <v>0.6</v>
      </c>
      <c r="R54" s="57"/>
      <c r="S54" s="37"/>
    </row>
    <row r="55" spans="1:19" s="87" customFormat="1" ht="24" x14ac:dyDescent="0.25">
      <c r="A55" s="85"/>
      <c r="B55" s="45">
        <f t="shared" si="0"/>
        <v>46</v>
      </c>
      <c r="C55" s="60" t="s">
        <v>23</v>
      </c>
      <c r="D55" s="61" t="s">
        <v>61</v>
      </c>
      <c r="E55" s="62" t="s">
        <v>126</v>
      </c>
      <c r="F55" s="62" t="s">
        <v>180</v>
      </c>
      <c r="G55" s="62" t="s">
        <v>223</v>
      </c>
      <c r="H55" s="62" t="s">
        <v>249</v>
      </c>
      <c r="I55" s="62" t="s">
        <v>372</v>
      </c>
      <c r="J55" s="62" t="s">
        <v>316</v>
      </c>
      <c r="K55" s="62" t="s">
        <v>357</v>
      </c>
      <c r="L55" s="62">
        <v>1</v>
      </c>
      <c r="M55" s="37">
        <f t="shared" si="1"/>
        <v>40</v>
      </c>
      <c r="N55" s="62">
        <v>60</v>
      </c>
      <c r="O55" s="64" t="s">
        <v>385</v>
      </c>
      <c r="P55" s="65">
        <v>2.81E-2</v>
      </c>
      <c r="Q55" s="65">
        <f t="shared" ref="Q55" si="21">P55*N55</f>
        <v>1.6859999999999999</v>
      </c>
      <c r="R55" s="62"/>
      <c r="S55" s="62"/>
    </row>
    <row r="56" spans="1:19" s="87" customFormat="1" ht="24" x14ac:dyDescent="0.25">
      <c r="A56" s="85"/>
      <c r="B56" s="44">
        <f>ROW(B56) - ROW($B$9)</f>
        <v>47</v>
      </c>
      <c r="C56" s="56" t="s">
        <v>23</v>
      </c>
      <c r="D56" s="58" t="s">
        <v>62</v>
      </c>
      <c r="E56" s="58" t="s">
        <v>127</v>
      </c>
      <c r="F56" s="58" t="s">
        <v>180</v>
      </c>
      <c r="G56" s="58" t="s">
        <v>224</v>
      </c>
      <c r="H56" s="58" t="s">
        <v>249</v>
      </c>
      <c r="I56" s="58" t="s">
        <v>372</v>
      </c>
      <c r="J56" s="58" t="s">
        <v>317</v>
      </c>
      <c r="K56" s="58" t="s">
        <v>358</v>
      </c>
      <c r="L56" s="58">
        <v>1</v>
      </c>
      <c r="M56" s="37">
        <f t="shared" si="1"/>
        <v>40</v>
      </c>
      <c r="N56" s="58">
        <v>60</v>
      </c>
      <c r="O56" s="55" t="s">
        <v>385</v>
      </c>
      <c r="P56" s="59">
        <v>2.9600000000000001E-2</v>
      </c>
      <c r="Q56" s="59">
        <f>P56*N56</f>
        <v>1.776</v>
      </c>
      <c r="R56" s="57"/>
      <c r="S56" s="37"/>
    </row>
    <row r="57" spans="1:19" s="87" customFormat="1" ht="24" x14ac:dyDescent="0.25">
      <c r="A57" s="85"/>
      <c r="B57" s="45">
        <f t="shared" si="0"/>
        <v>48</v>
      </c>
      <c r="C57" s="60" t="s">
        <v>23</v>
      </c>
      <c r="D57" s="61" t="s">
        <v>63</v>
      </c>
      <c r="E57" s="62" t="s">
        <v>128</v>
      </c>
      <c r="F57" s="62" t="s">
        <v>180</v>
      </c>
      <c r="G57" s="62" t="s">
        <v>225</v>
      </c>
      <c r="H57" s="62" t="s">
        <v>249</v>
      </c>
      <c r="I57" s="62" t="s">
        <v>372</v>
      </c>
      <c r="J57" s="62" t="s">
        <v>318</v>
      </c>
      <c r="K57" s="62" t="s">
        <v>359</v>
      </c>
      <c r="L57" s="62">
        <v>2</v>
      </c>
      <c r="M57" s="37">
        <f t="shared" si="1"/>
        <v>80</v>
      </c>
      <c r="N57" s="62">
        <v>100</v>
      </c>
      <c r="O57" s="64" t="s">
        <v>385</v>
      </c>
      <c r="P57" s="65">
        <v>1.1999999999999999E-3</v>
      </c>
      <c r="Q57" s="65">
        <f t="shared" ref="Q57" si="22">P57*N57</f>
        <v>0.12</v>
      </c>
      <c r="R57" s="62"/>
      <c r="S57" s="62"/>
    </row>
    <row r="58" spans="1:19" s="87" customFormat="1" x14ac:dyDescent="0.25">
      <c r="A58" s="85"/>
      <c r="B58" s="44">
        <f>ROW(B58) - ROW($B$9)</f>
        <v>49</v>
      </c>
      <c r="C58" s="56" t="s">
        <v>23</v>
      </c>
      <c r="D58" s="58" t="s">
        <v>64</v>
      </c>
      <c r="E58" s="58" t="s">
        <v>129</v>
      </c>
      <c r="F58" s="58" t="s">
        <v>180</v>
      </c>
      <c r="G58" s="58" t="s">
        <v>226</v>
      </c>
      <c r="H58" s="58" t="s">
        <v>249</v>
      </c>
      <c r="I58" s="58" t="s">
        <v>372</v>
      </c>
      <c r="J58" s="58" t="s">
        <v>319</v>
      </c>
      <c r="K58" s="58" t="s">
        <v>360</v>
      </c>
      <c r="L58" s="58">
        <v>3</v>
      </c>
      <c r="M58" s="37">
        <f t="shared" si="1"/>
        <v>120</v>
      </c>
      <c r="N58" s="58">
        <v>200</v>
      </c>
      <c r="O58" s="55" t="s">
        <v>385</v>
      </c>
      <c r="P58" s="59">
        <v>1.2999999999999999E-3</v>
      </c>
      <c r="Q58" s="59">
        <f>P58*N58</f>
        <v>0.26</v>
      </c>
      <c r="R58" s="57"/>
      <c r="S58" s="37"/>
    </row>
    <row r="59" spans="1:19" s="87" customFormat="1" ht="24" x14ac:dyDescent="0.25">
      <c r="A59" s="85"/>
      <c r="B59" s="45">
        <f t="shared" si="0"/>
        <v>50</v>
      </c>
      <c r="C59" s="60" t="s">
        <v>23</v>
      </c>
      <c r="D59" s="61" t="s">
        <v>65</v>
      </c>
      <c r="E59" s="62" t="s">
        <v>130</v>
      </c>
      <c r="F59" s="62" t="s">
        <v>180</v>
      </c>
      <c r="G59" s="62" t="s">
        <v>227</v>
      </c>
      <c r="H59" s="62" t="s">
        <v>249</v>
      </c>
      <c r="I59" s="62" t="s">
        <v>372</v>
      </c>
      <c r="J59" s="62" t="s">
        <v>320</v>
      </c>
      <c r="K59" s="62" t="s">
        <v>361</v>
      </c>
      <c r="L59" s="62">
        <v>4</v>
      </c>
      <c r="M59" s="37">
        <f t="shared" si="1"/>
        <v>160</v>
      </c>
      <c r="N59" s="62">
        <v>200</v>
      </c>
      <c r="O59" s="64" t="s">
        <v>385</v>
      </c>
      <c r="P59" s="65">
        <v>9.2999999999999992E-3</v>
      </c>
      <c r="Q59" s="65">
        <f t="shared" ref="Q59" si="23">P59*N59</f>
        <v>1.8599999999999999</v>
      </c>
      <c r="R59" s="62"/>
      <c r="S59" s="62"/>
    </row>
    <row r="60" spans="1:19" s="87" customFormat="1" ht="24" x14ac:dyDescent="0.25">
      <c r="A60" s="85"/>
      <c r="B60" s="44">
        <f>ROW(B60) - ROW($B$9)</f>
        <v>51</v>
      </c>
      <c r="C60" s="56" t="s">
        <v>23</v>
      </c>
      <c r="D60" s="58" t="s">
        <v>66</v>
      </c>
      <c r="E60" s="58" t="s">
        <v>131</v>
      </c>
      <c r="F60" s="58" t="s">
        <v>180</v>
      </c>
      <c r="G60" s="58" t="s">
        <v>228</v>
      </c>
      <c r="H60" s="58" t="s">
        <v>249</v>
      </c>
      <c r="I60" s="58" t="s">
        <v>372</v>
      </c>
      <c r="J60" s="58" t="s">
        <v>321</v>
      </c>
      <c r="K60" s="58" t="s">
        <v>362</v>
      </c>
      <c r="L60" s="58">
        <v>1</v>
      </c>
      <c r="M60" s="37">
        <f t="shared" si="1"/>
        <v>40</v>
      </c>
      <c r="N60" s="58">
        <v>100</v>
      </c>
      <c r="O60" s="55" t="s">
        <v>385</v>
      </c>
      <c r="P60" s="59">
        <v>3.0000000000000001E-3</v>
      </c>
      <c r="Q60" s="59">
        <f>P60*N60</f>
        <v>0.3</v>
      </c>
      <c r="R60" s="57"/>
      <c r="S60" s="37"/>
    </row>
    <row r="61" spans="1:19" s="87" customFormat="1" x14ac:dyDescent="0.25">
      <c r="A61" s="85"/>
      <c r="B61" s="45">
        <f t="shared" si="0"/>
        <v>52</v>
      </c>
      <c r="C61" s="60" t="s">
        <v>23</v>
      </c>
      <c r="D61" s="61" t="s">
        <v>67</v>
      </c>
      <c r="E61" s="62" t="s">
        <v>132</v>
      </c>
      <c r="F61" s="62" t="s">
        <v>180</v>
      </c>
      <c r="G61" s="62" t="s">
        <v>229</v>
      </c>
      <c r="H61" s="62" t="s">
        <v>249</v>
      </c>
      <c r="I61" s="62" t="s">
        <v>372</v>
      </c>
      <c r="J61" s="62" t="s">
        <v>322</v>
      </c>
      <c r="K61" s="62" t="s">
        <v>363</v>
      </c>
      <c r="L61" s="62">
        <v>3</v>
      </c>
      <c r="M61" s="37">
        <f t="shared" si="1"/>
        <v>120</v>
      </c>
      <c r="N61" s="62">
        <v>200</v>
      </c>
      <c r="O61" s="64" t="s">
        <v>385</v>
      </c>
      <c r="P61" s="65">
        <v>1.1999999999999999E-3</v>
      </c>
      <c r="Q61" s="65">
        <f t="shared" ref="Q61" si="24">P61*N61</f>
        <v>0.24</v>
      </c>
      <c r="R61" s="62"/>
      <c r="S61" s="62"/>
    </row>
    <row r="62" spans="1:19" s="87" customFormat="1" ht="24" x14ac:dyDescent="0.25">
      <c r="A62" s="85"/>
      <c r="B62" s="44">
        <f>ROW(B62) - ROW($B$9)</f>
        <v>53</v>
      </c>
      <c r="C62" s="56" t="s">
        <v>23</v>
      </c>
      <c r="D62" s="58" t="s">
        <v>68</v>
      </c>
      <c r="E62" s="58" t="s">
        <v>133</v>
      </c>
      <c r="F62" s="58" t="s">
        <v>180</v>
      </c>
      <c r="G62" s="58" t="s">
        <v>230</v>
      </c>
      <c r="H62" s="58" t="s">
        <v>249</v>
      </c>
      <c r="I62" s="58" t="s">
        <v>372</v>
      </c>
      <c r="J62" s="58" t="s">
        <v>323</v>
      </c>
      <c r="K62" s="58" t="s">
        <v>364</v>
      </c>
      <c r="L62" s="58">
        <v>6</v>
      </c>
      <c r="M62" s="37">
        <f t="shared" si="1"/>
        <v>240</v>
      </c>
      <c r="N62" s="58">
        <v>300</v>
      </c>
      <c r="O62" s="55" t="s">
        <v>385</v>
      </c>
      <c r="P62" s="59">
        <v>1.1000000000000001E-3</v>
      </c>
      <c r="Q62" s="59">
        <f>P62*N62</f>
        <v>0.33</v>
      </c>
      <c r="R62" s="57"/>
      <c r="S62" s="37"/>
    </row>
    <row r="63" spans="1:19" s="87" customFormat="1" x14ac:dyDescent="0.25">
      <c r="A63" s="85"/>
      <c r="B63" s="45">
        <f t="shared" si="0"/>
        <v>54</v>
      </c>
      <c r="C63" s="60" t="s">
        <v>23</v>
      </c>
      <c r="D63" s="61" t="s">
        <v>69</v>
      </c>
      <c r="E63" s="62" t="s">
        <v>134</v>
      </c>
      <c r="F63" s="62" t="s">
        <v>180</v>
      </c>
      <c r="G63" s="62" t="s">
        <v>231</v>
      </c>
      <c r="H63" s="62" t="s">
        <v>249</v>
      </c>
      <c r="I63" s="62" t="s">
        <v>372</v>
      </c>
      <c r="J63" s="62" t="s">
        <v>324</v>
      </c>
      <c r="K63" s="62" t="s">
        <v>365</v>
      </c>
      <c r="L63" s="62">
        <v>4</v>
      </c>
      <c r="M63" s="37">
        <f t="shared" si="1"/>
        <v>160</v>
      </c>
      <c r="N63" s="62">
        <v>200</v>
      </c>
      <c r="O63" s="64" t="s">
        <v>385</v>
      </c>
      <c r="P63" s="65">
        <v>1E-3</v>
      </c>
      <c r="Q63" s="65">
        <f t="shared" ref="Q63" si="25">P63*N63</f>
        <v>0.2</v>
      </c>
      <c r="R63" s="62"/>
      <c r="S63" s="62"/>
    </row>
    <row r="64" spans="1:19" s="87" customFormat="1" ht="24" x14ac:dyDescent="0.25">
      <c r="A64" s="85"/>
      <c r="B64" s="44">
        <f>ROW(B64) - ROW($B$9)</f>
        <v>55</v>
      </c>
      <c r="C64" s="56" t="s">
        <v>23</v>
      </c>
      <c r="D64" s="58" t="s">
        <v>70</v>
      </c>
      <c r="E64" s="58" t="s">
        <v>135</v>
      </c>
      <c r="F64" s="58" t="s">
        <v>180</v>
      </c>
      <c r="G64" s="58" t="s">
        <v>232</v>
      </c>
      <c r="H64" s="58" t="s">
        <v>249</v>
      </c>
      <c r="I64" s="58" t="s">
        <v>372</v>
      </c>
      <c r="J64" s="58" t="s">
        <v>325</v>
      </c>
      <c r="K64" s="58" t="s">
        <v>366</v>
      </c>
      <c r="L64" s="58">
        <v>1</v>
      </c>
      <c r="M64" s="37">
        <f t="shared" si="1"/>
        <v>40</v>
      </c>
      <c r="N64" s="58">
        <v>100</v>
      </c>
      <c r="O64" s="55" t="s">
        <v>385</v>
      </c>
      <c r="P64" s="59">
        <v>1.2999999999999999E-3</v>
      </c>
      <c r="Q64" s="59">
        <f>P64*N64</f>
        <v>0.13</v>
      </c>
      <c r="R64" s="57"/>
      <c r="S64" s="37"/>
    </row>
    <row r="65" spans="1:19" s="87" customFormat="1" x14ac:dyDescent="0.25">
      <c r="A65" s="85"/>
      <c r="B65" s="45">
        <f t="shared" si="0"/>
        <v>56</v>
      </c>
      <c r="C65" s="60" t="s">
        <v>23</v>
      </c>
      <c r="D65" s="61" t="s">
        <v>71</v>
      </c>
      <c r="E65" s="62" t="s">
        <v>136</v>
      </c>
      <c r="F65" s="62" t="s">
        <v>180</v>
      </c>
      <c r="G65" s="62" t="s">
        <v>233</v>
      </c>
      <c r="H65" s="62" t="s">
        <v>249</v>
      </c>
      <c r="I65" s="62" t="s">
        <v>372</v>
      </c>
      <c r="J65" s="62" t="s">
        <v>326</v>
      </c>
      <c r="K65" s="62" t="s">
        <v>367</v>
      </c>
      <c r="L65" s="62">
        <v>3</v>
      </c>
      <c r="M65" s="37">
        <f t="shared" si="1"/>
        <v>120</v>
      </c>
      <c r="N65" s="62">
        <v>200</v>
      </c>
      <c r="O65" s="64" t="s">
        <v>385</v>
      </c>
      <c r="P65" s="65">
        <v>1.2999999999999999E-3</v>
      </c>
      <c r="Q65" s="65">
        <f t="shared" ref="Q65" si="26">P65*N65</f>
        <v>0.26</v>
      </c>
      <c r="R65" s="62"/>
      <c r="S65" s="62"/>
    </row>
    <row r="66" spans="1:19" s="87" customFormat="1" ht="24" x14ac:dyDescent="0.25">
      <c r="A66" s="85"/>
      <c r="B66" s="44">
        <f>ROW(B66) - ROW($B$9)</f>
        <v>57</v>
      </c>
      <c r="C66" s="56" t="s">
        <v>23</v>
      </c>
      <c r="D66" s="58" t="s">
        <v>72</v>
      </c>
      <c r="E66" s="58" t="s">
        <v>137</v>
      </c>
      <c r="F66" s="58" t="s">
        <v>180</v>
      </c>
      <c r="G66" s="58" t="s">
        <v>234</v>
      </c>
      <c r="H66" s="58" t="s">
        <v>249</v>
      </c>
      <c r="I66" s="58" t="s">
        <v>372</v>
      </c>
      <c r="J66" s="58" t="s">
        <v>327</v>
      </c>
      <c r="K66" s="58" t="s">
        <v>368</v>
      </c>
      <c r="L66" s="58">
        <v>1</v>
      </c>
      <c r="M66" s="37">
        <f t="shared" si="1"/>
        <v>40</v>
      </c>
      <c r="N66" s="58">
        <v>100</v>
      </c>
      <c r="O66" s="55" t="s">
        <v>385</v>
      </c>
      <c r="P66" s="59">
        <v>1.8E-3</v>
      </c>
      <c r="Q66" s="59">
        <f>P66*N66</f>
        <v>0.18</v>
      </c>
      <c r="R66" s="57"/>
      <c r="S66" s="37"/>
    </row>
    <row r="67" spans="1:19" s="87" customFormat="1" ht="24" x14ac:dyDescent="0.25">
      <c r="A67" s="85"/>
      <c r="B67" s="45">
        <f t="shared" si="0"/>
        <v>58</v>
      </c>
      <c r="C67" s="60" t="s">
        <v>23</v>
      </c>
      <c r="D67" s="61" t="s">
        <v>73</v>
      </c>
      <c r="E67" s="62" t="s">
        <v>138</v>
      </c>
      <c r="F67" s="62" t="s">
        <v>180</v>
      </c>
      <c r="G67" s="62" t="s">
        <v>235</v>
      </c>
      <c r="H67" s="62" t="s">
        <v>249</v>
      </c>
      <c r="I67" s="62" t="s">
        <v>372</v>
      </c>
      <c r="J67" s="62" t="s">
        <v>328</v>
      </c>
      <c r="K67" s="62" t="s">
        <v>369</v>
      </c>
      <c r="L67" s="62">
        <v>1</v>
      </c>
      <c r="M67" s="37">
        <f t="shared" si="1"/>
        <v>40</v>
      </c>
      <c r="N67" s="62">
        <v>100</v>
      </c>
      <c r="O67" s="64" t="s">
        <v>385</v>
      </c>
      <c r="P67" s="65">
        <v>1.2999999999999999E-3</v>
      </c>
      <c r="Q67" s="65">
        <f t="shared" ref="Q67" si="27">P67*N67</f>
        <v>0.13</v>
      </c>
      <c r="R67" s="62"/>
      <c r="S67" s="62"/>
    </row>
    <row r="68" spans="1:19" s="87" customFormat="1" x14ac:dyDescent="0.25">
      <c r="A68" s="85"/>
      <c r="B68" s="44">
        <f>ROW(B68) - ROW($B$9)</f>
        <v>59</v>
      </c>
      <c r="C68" s="56" t="s">
        <v>23</v>
      </c>
      <c r="D68" s="58" t="s">
        <v>74</v>
      </c>
      <c r="E68" s="58" t="s">
        <v>139</v>
      </c>
      <c r="F68" s="58" t="s">
        <v>181</v>
      </c>
      <c r="G68" s="58" t="s">
        <v>236</v>
      </c>
      <c r="H68" s="58" t="s">
        <v>249</v>
      </c>
      <c r="I68" s="58" t="s">
        <v>372</v>
      </c>
      <c r="J68" s="58" t="s">
        <v>392</v>
      </c>
      <c r="K68" s="58" t="s">
        <v>363</v>
      </c>
      <c r="L68" s="58">
        <v>1</v>
      </c>
      <c r="M68" s="37">
        <f t="shared" si="1"/>
        <v>40</v>
      </c>
      <c r="N68" s="58">
        <v>100</v>
      </c>
      <c r="O68" s="55" t="s">
        <v>385</v>
      </c>
      <c r="P68" s="59">
        <v>6.9999999999999999E-4</v>
      </c>
      <c r="Q68" s="59">
        <f>P68*N68</f>
        <v>6.9999999999999993E-2</v>
      </c>
      <c r="R68" s="57"/>
      <c r="S68" s="37"/>
    </row>
    <row r="69" spans="1:19" s="87" customFormat="1" x14ac:dyDescent="0.25">
      <c r="A69" s="85"/>
      <c r="B69" s="45">
        <f t="shared" si="0"/>
        <v>60</v>
      </c>
      <c r="C69" s="60" t="s">
        <v>23</v>
      </c>
      <c r="D69" s="61" t="s">
        <v>75</v>
      </c>
      <c r="E69" s="62" t="s">
        <v>140</v>
      </c>
      <c r="F69" s="62" t="s">
        <v>181</v>
      </c>
      <c r="G69" s="62" t="s">
        <v>237</v>
      </c>
      <c r="H69" s="62" t="s">
        <v>249</v>
      </c>
      <c r="I69" s="62" t="s">
        <v>372</v>
      </c>
      <c r="J69" s="62" t="s">
        <v>373</v>
      </c>
      <c r="K69" s="62" t="s">
        <v>370</v>
      </c>
      <c r="L69" s="62">
        <v>1</v>
      </c>
      <c r="M69" s="37">
        <f t="shared" si="1"/>
        <v>40</v>
      </c>
      <c r="N69" s="62">
        <v>100</v>
      </c>
      <c r="O69" s="64" t="s">
        <v>385</v>
      </c>
      <c r="P69" s="65">
        <v>5.0000000000000001E-4</v>
      </c>
      <c r="Q69" s="65">
        <f t="shared" ref="Q69" si="28">P69*N69</f>
        <v>0.05</v>
      </c>
      <c r="R69" s="62"/>
      <c r="S69" s="62"/>
    </row>
    <row r="70" spans="1:19" s="87" customFormat="1" ht="36" x14ac:dyDescent="0.25">
      <c r="A70" s="85"/>
      <c r="B70" s="44">
        <f>ROW(B70) - ROW($B$9)</f>
        <v>61</v>
      </c>
      <c r="C70" s="56" t="s">
        <v>23</v>
      </c>
      <c r="D70" s="37" t="s">
        <v>453</v>
      </c>
      <c r="E70" s="37" t="s">
        <v>454</v>
      </c>
      <c r="F70" s="37" t="s">
        <v>455</v>
      </c>
      <c r="G70" s="37" t="s">
        <v>456</v>
      </c>
      <c r="H70" s="37" t="s">
        <v>457</v>
      </c>
      <c r="I70" s="37" t="s">
        <v>372</v>
      </c>
      <c r="J70" s="37" t="s">
        <v>458</v>
      </c>
      <c r="K70" s="37" t="s">
        <v>459</v>
      </c>
      <c r="L70" s="37">
        <v>1</v>
      </c>
      <c r="M70" s="37">
        <f t="shared" si="1"/>
        <v>40</v>
      </c>
      <c r="N70" s="37">
        <v>50</v>
      </c>
      <c r="O70" s="55" t="s">
        <v>385</v>
      </c>
      <c r="P70" s="72">
        <v>5.8099999999999999E-2</v>
      </c>
      <c r="Q70" s="72">
        <f>P70*N70</f>
        <v>2.9049999999999998</v>
      </c>
      <c r="R70" s="37"/>
      <c r="S70" s="74"/>
    </row>
    <row r="71" spans="1:19" s="87" customFormat="1" ht="24" x14ac:dyDescent="0.25">
      <c r="A71" s="85"/>
      <c r="B71" s="45">
        <f t="shared" ref="B71" si="29">ROW(B71) - ROW($B$9)</f>
        <v>62</v>
      </c>
      <c r="C71" s="60" t="s">
        <v>23</v>
      </c>
      <c r="D71" s="62" t="s">
        <v>460</v>
      </c>
      <c r="E71" s="62" t="s">
        <v>461</v>
      </c>
      <c r="F71" s="62" t="s">
        <v>180</v>
      </c>
      <c r="G71" s="62" t="s">
        <v>462</v>
      </c>
      <c r="H71" s="62" t="s">
        <v>249</v>
      </c>
      <c r="I71" s="62" t="s">
        <v>372</v>
      </c>
      <c r="J71" s="62" t="s">
        <v>463</v>
      </c>
      <c r="K71" s="62" t="s">
        <v>464</v>
      </c>
      <c r="L71" s="62">
        <v>2</v>
      </c>
      <c r="M71" s="37">
        <f t="shared" si="1"/>
        <v>80</v>
      </c>
      <c r="N71" s="62">
        <v>100</v>
      </c>
      <c r="O71" s="64" t="s">
        <v>385</v>
      </c>
      <c r="P71" s="65">
        <v>1.1999999999999999E-3</v>
      </c>
      <c r="Q71" s="65">
        <f t="shared" ref="Q71" si="30">P71*N71</f>
        <v>0.12</v>
      </c>
      <c r="R71" s="62"/>
      <c r="S71" s="74"/>
    </row>
    <row r="72" spans="1:19" s="87" customFormat="1" x14ac:dyDescent="0.25">
      <c r="A72" s="85"/>
      <c r="B72" s="44">
        <f>ROW(B72) - ROW($B$9)</f>
        <v>63</v>
      </c>
      <c r="C72" s="67" t="s">
        <v>388</v>
      </c>
      <c r="D72" s="68" t="s">
        <v>475</v>
      </c>
      <c r="E72" s="68" t="s">
        <v>141</v>
      </c>
      <c r="F72" s="68" t="s">
        <v>372</v>
      </c>
      <c r="G72" s="68" t="s">
        <v>182</v>
      </c>
      <c r="H72" s="68" t="s">
        <v>372</v>
      </c>
      <c r="I72" s="68" t="s">
        <v>372</v>
      </c>
      <c r="J72" s="68" t="s">
        <v>372</v>
      </c>
      <c r="K72" s="68" t="s">
        <v>372</v>
      </c>
      <c r="L72" s="68">
        <v>2</v>
      </c>
      <c r="M72" s="37">
        <f t="shared" si="1"/>
        <v>80</v>
      </c>
      <c r="N72" s="68" t="s">
        <v>372</v>
      </c>
      <c r="O72" s="69" t="s">
        <v>372</v>
      </c>
      <c r="P72" s="70" t="s">
        <v>372</v>
      </c>
      <c r="Q72" s="70" t="s">
        <v>372</v>
      </c>
      <c r="R72" s="68" t="s">
        <v>436</v>
      </c>
      <c r="S72" s="68"/>
    </row>
    <row r="73" spans="1:19" s="87" customFormat="1" ht="24" x14ac:dyDescent="0.25">
      <c r="A73" s="85"/>
      <c r="B73" s="45">
        <f t="shared" si="0"/>
        <v>64</v>
      </c>
      <c r="C73" s="60" t="s">
        <v>389</v>
      </c>
      <c r="D73" s="61" t="s">
        <v>77</v>
      </c>
      <c r="E73" s="62" t="s">
        <v>142</v>
      </c>
      <c r="F73" s="62" t="s">
        <v>372</v>
      </c>
      <c r="G73" s="62" t="s">
        <v>238</v>
      </c>
      <c r="H73" s="62" t="s">
        <v>272</v>
      </c>
      <c r="I73" s="62" t="s">
        <v>372</v>
      </c>
      <c r="J73" s="62" t="s">
        <v>329</v>
      </c>
      <c r="K73" s="62" t="s">
        <v>372</v>
      </c>
      <c r="L73" s="62">
        <v>1</v>
      </c>
      <c r="M73" s="37">
        <f t="shared" si="1"/>
        <v>40</v>
      </c>
      <c r="N73" s="62">
        <v>42</v>
      </c>
      <c r="O73" s="64" t="s">
        <v>385</v>
      </c>
      <c r="P73" s="65">
        <v>0.3241</v>
      </c>
      <c r="Q73" s="65">
        <f t="shared" ref="Q73" si="31">P73*N73</f>
        <v>13.6122</v>
      </c>
      <c r="R73" s="62"/>
      <c r="S73" s="62"/>
    </row>
    <row r="74" spans="1:19" s="87" customFormat="1" ht="36" x14ac:dyDescent="0.25">
      <c r="A74" s="85"/>
      <c r="B74" s="44">
        <f>ROW(B74) - ROW($B$9)</f>
        <v>65</v>
      </c>
      <c r="C74" s="56" t="s">
        <v>24</v>
      </c>
      <c r="D74" s="58" t="s">
        <v>78</v>
      </c>
      <c r="E74" s="58" t="s">
        <v>143</v>
      </c>
      <c r="F74" s="58" t="s">
        <v>183</v>
      </c>
      <c r="G74" s="58" t="s">
        <v>239</v>
      </c>
      <c r="H74" s="58" t="s">
        <v>273</v>
      </c>
      <c r="I74" s="58" t="s">
        <v>372</v>
      </c>
      <c r="J74" s="58" t="s">
        <v>330</v>
      </c>
      <c r="K74" s="58" t="s">
        <v>372</v>
      </c>
      <c r="L74" s="58">
        <v>1</v>
      </c>
      <c r="M74" s="37">
        <f t="shared" si="1"/>
        <v>40</v>
      </c>
      <c r="N74" s="58">
        <v>50</v>
      </c>
      <c r="O74" s="55" t="s">
        <v>385</v>
      </c>
      <c r="P74" s="59">
        <v>5.9900000000000002E-2</v>
      </c>
      <c r="Q74" s="59">
        <f>P74*N74</f>
        <v>2.9950000000000001</v>
      </c>
      <c r="R74" s="57"/>
      <c r="S74" s="37"/>
    </row>
    <row r="75" spans="1:19" s="87" customFormat="1" ht="24" x14ac:dyDescent="0.25">
      <c r="A75" s="85"/>
      <c r="B75" s="45">
        <f t="shared" si="0"/>
        <v>66</v>
      </c>
      <c r="C75" s="60" t="s">
        <v>24</v>
      </c>
      <c r="D75" s="61" t="s">
        <v>79</v>
      </c>
      <c r="E75" s="62" t="s">
        <v>144</v>
      </c>
      <c r="F75" s="62" t="s">
        <v>184</v>
      </c>
      <c r="G75" s="62" t="s">
        <v>240</v>
      </c>
      <c r="H75" s="62" t="s">
        <v>274</v>
      </c>
      <c r="I75" s="62" t="s">
        <v>372</v>
      </c>
      <c r="J75" s="62" t="s">
        <v>331</v>
      </c>
      <c r="K75" s="62" t="s">
        <v>372</v>
      </c>
      <c r="L75" s="62">
        <v>1</v>
      </c>
      <c r="M75" s="37">
        <f t="shared" ref="M75:M88" si="32">L75*40</f>
        <v>40</v>
      </c>
      <c r="N75" s="62">
        <v>41</v>
      </c>
      <c r="O75" s="64" t="s">
        <v>385</v>
      </c>
      <c r="P75" s="65">
        <v>2.2145999999999999</v>
      </c>
      <c r="Q75" s="65">
        <f t="shared" ref="Q75" si="33">P75*N75</f>
        <v>90.798599999999993</v>
      </c>
      <c r="R75" s="62"/>
      <c r="S75" s="62"/>
    </row>
    <row r="76" spans="1:19" s="87" customFormat="1" ht="36" x14ac:dyDescent="0.25">
      <c r="A76" s="85"/>
      <c r="B76" s="44">
        <f>ROW(B76) - ROW($B$9)</f>
        <v>67</v>
      </c>
      <c r="C76" s="56" t="s">
        <v>24</v>
      </c>
      <c r="D76" s="58" t="s">
        <v>80</v>
      </c>
      <c r="E76" s="58" t="s">
        <v>145</v>
      </c>
      <c r="F76" s="58" t="s">
        <v>185</v>
      </c>
      <c r="G76" s="58" t="s">
        <v>241</v>
      </c>
      <c r="H76" s="58" t="s">
        <v>275</v>
      </c>
      <c r="I76" s="58" t="s">
        <v>372</v>
      </c>
      <c r="J76" s="58" t="s">
        <v>332</v>
      </c>
      <c r="K76" s="58" t="s">
        <v>372</v>
      </c>
      <c r="L76" s="58">
        <v>1</v>
      </c>
      <c r="M76" s="37">
        <f t="shared" si="32"/>
        <v>40</v>
      </c>
      <c r="N76" s="58">
        <v>45</v>
      </c>
      <c r="O76" s="55" t="s">
        <v>385</v>
      </c>
      <c r="P76" s="59">
        <v>8.5000000000000006E-2</v>
      </c>
      <c r="Q76" s="59">
        <f>P76*N76</f>
        <v>3.8250000000000002</v>
      </c>
      <c r="R76" s="57"/>
      <c r="S76" s="37"/>
    </row>
    <row r="77" spans="1:19" s="87" customFormat="1" ht="24" x14ac:dyDescent="0.25">
      <c r="A77" s="85"/>
      <c r="B77" s="45">
        <f t="shared" si="0"/>
        <v>68</v>
      </c>
      <c r="C77" s="60" t="s">
        <v>24</v>
      </c>
      <c r="D77" s="61" t="s">
        <v>81</v>
      </c>
      <c r="E77" s="62" t="s">
        <v>146</v>
      </c>
      <c r="F77" s="62" t="s">
        <v>186</v>
      </c>
      <c r="G77" s="62" t="s">
        <v>242</v>
      </c>
      <c r="H77" s="62" t="s">
        <v>276</v>
      </c>
      <c r="I77" s="62" t="s">
        <v>372</v>
      </c>
      <c r="J77" s="62" t="s">
        <v>333</v>
      </c>
      <c r="K77" s="62" t="s">
        <v>372</v>
      </c>
      <c r="L77" s="62">
        <v>4</v>
      </c>
      <c r="M77" s="37">
        <f t="shared" si="32"/>
        <v>160</v>
      </c>
      <c r="N77" s="62">
        <v>161</v>
      </c>
      <c r="O77" s="64" t="s">
        <v>385</v>
      </c>
      <c r="P77" s="65">
        <v>5.1132</v>
      </c>
      <c r="Q77" s="65">
        <f t="shared" ref="Q77" si="34">P77*N77</f>
        <v>823.22519999999997</v>
      </c>
      <c r="R77" s="62"/>
      <c r="S77" s="62"/>
    </row>
    <row r="78" spans="1:19" s="87" customFormat="1" ht="24" x14ac:dyDescent="0.25">
      <c r="A78" s="85"/>
      <c r="B78" s="44">
        <f>ROW(B78) - ROW($B$9)</f>
        <v>69</v>
      </c>
      <c r="C78" s="56" t="s">
        <v>24</v>
      </c>
      <c r="D78" s="58" t="s">
        <v>437</v>
      </c>
      <c r="E78" s="58" t="s">
        <v>147</v>
      </c>
      <c r="F78" s="58" t="s">
        <v>187</v>
      </c>
      <c r="G78" s="58" t="s">
        <v>243</v>
      </c>
      <c r="H78" s="58" t="s">
        <v>277</v>
      </c>
      <c r="I78" s="58" t="s">
        <v>372</v>
      </c>
      <c r="J78" s="58" t="s">
        <v>334</v>
      </c>
      <c r="K78" s="58" t="s">
        <v>372</v>
      </c>
      <c r="L78" s="58">
        <v>1</v>
      </c>
      <c r="M78" s="37">
        <f t="shared" si="32"/>
        <v>40</v>
      </c>
      <c r="N78" s="58">
        <v>41</v>
      </c>
      <c r="O78" s="55" t="s">
        <v>385</v>
      </c>
      <c r="P78" s="59">
        <v>0.3866</v>
      </c>
      <c r="Q78" s="59">
        <f>P78*N78</f>
        <v>15.8506</v>
      </c>
      <c r="R78" s="57"/>
      <c r="S78" s="37"/>
    </row>
    <row r="79" spans="1:19" s="87" customFormat="1" ht="24" x14ac:dyDescent="0.25">
      <c r="A79" s="85"/>
      <c r="B79" s="44"/>
      <c r="C79" s="56" t="s">
        <v>24</v>
      </c>
      <c r="D79" s="37" t="s">
        <v>438</v>
      </c>
      <c r="E79" s="37" t="s">
        <v>439</v>
      </c>
      <c r="F79" s="37" t="s">
        <v>440</v>
      </c>
      <c r="G79" s="37" t="s">
        <v>441</v>
      </c>
      <c r="H79" s="37" t="s">
        <v>277</v>
      </c>
      <c r="I79" s="37" t="s">
        <v>372</v>
      </c>
      <c r="J79" s="37" t="s">
        <v>442</v>
      </c>
      <c r="K79" s="37" t="s">
        <v>372</v>
      </c>
      <c r="L79" s="37">
        <v>1</v>
      </c>
      <c r="M79" s="37">
        <f t="shared" si="32"/>
        <v>40</v>
      </c>
      <c r="N79" s="58">
        <v>41</v>
      </c>
      <c r="O79" s="55" t="s">
        <v>385</v>
      </c>
      <c r="P79" s="59">
        <v>0.2848</v>
      </c>
      <c r="Q79" s="59">
        <f>P79*N79</f>
        <v>11.6768</v>
      </c>
      <c r="R79" s="57"/>
      <c r="S79" s="37"/>
    </row>
    <row r="80" spans="1:19" s="87" customFormat="1" ht="24" x14ac:dyDescent="0.25">
      <c r="A80" s="85"/>
      <c r="B80" s="45">
        <f t="shared" si="0"/>
        <v>71</v>
      </c>
      <c r="C80" s="60" t="s">
        <v>24</v>
      </c>
      <c r="D80" s="61" t="s">
        <v>82</v>
      </c>
      <c r="E80" s="62" t="s">
        <v>148</v>
      </c>
      <c r="F80" s="62" t="s">
        <v>186</v>
      </c>
      <c r="G80" s="62" t="s">
        <v>244</v>
      </c>
      <c r="H80" s="62" t="s">
        <v>277</v>
      </c>
      <c r="I80" s="62" t="s">
        <v>372</v>
      </c>
      <c r="J80" s="62" t="s">
        <v>335</v>
      </c>
      <c r="K80" s="62" t="s">
        <v>372</v>
      </c>
      <c r="L80" s="62">
        <v>1</v>
      </c>
      <c r="M80" s="37">
        <f t="shared" si="32"/>
        <v>40</v>
      </c>
      <c r="N80" s="62">
        <v>41</v>
      </c>
      <c r="O80" s="64" t="s">
        <v>385</v>
      </c>
      <c r="P80" s="65">
        <v>0.58230000000000004</v>
      </c>
      <c r="Q80" s="65">
        <f t="shared" ref="Q80" si="35">P80*N80</f>
        <v>23.874300000000002</v>
      </c>
      <c r="R80" s="62"/>
      <c r="S80" s="62"/>
    </row>
    <row r="81" spans="1:19" s="87" customFormat="1" ht="36" x14ac:dyDescent="0.25">
      <c r="A81" s="85"/>
      <c r="B81" s="44">
        <f>ROW(B81) - ROW($B$9)</f>
        <v>72</v>
      </c>
      <c r="C81" s="56" t="s">
        <v>25</v>
      </c>
      <c r="D81" s="58" t="s">
        <v>83</v>
      </c>
      <c r="E81" s="58" t="s">
        <v>149</v>
      </c>
      <c r="F81" s="58" t="s">
        <v>372</v>
      </c>
      <c r="G81" s="58" t="s">
        <v>188</v>
      </c>
      <c r="H81" s="58" t="s">
        <v>278</v>
      </c>
      <c r="I81" s="58" t="s">
        <v>372</v>
      </c>
      <c r="J81" s="58" t="s">
        <v>336</v>
      </c>
      <c r="K81" s="58" t="s">
        <v>372</v>
      </c>
      <c r="L81" s="58">
        <v>1</v>
      </c>
      <c r="M81" s="37">
        <f t="shared" si="32"/>
        <v>40</v>
      </c>
      <c r="N81" s="58">
        <v>41</v>
      </c>
      <c r="O81" s="55" t="s">
        <v>385</v>
      </c>
      <c r="P81" s="59">
        <v>19.132300000000001</v>
      </c>
      <c r="Q81" s="59">
        <f>P81*N81</f>
        <v>784.42430000000002</v>
      </c>
      <c r="R81" s="57" t="s">
        <v>474</v>
      </c>
      <c r="S81" s="37"/>
    </row>
    <row r="82" spans="1:19" s="87" customFormat="1" ht="24" x14ac:dyDescent="0.25">
      <c r="A82" s="85"/>
      <c r="B82" s="45">
        <f t="shared" si="0"/>
        <v>73</v>
      </c>
      <c r="C82" s="60" t="s">
        <v>24</v>
      </c>
      <c r="D82" s="61" t="s">
        <v>84</v>
      </c>
      <c r="E82" s="62" t="s">
        <v>150</v>
      </c>
      <c r="F82" s="62" t="s">
        <v>189</v>
      </c>
      <c r="G82" s="62" t="s">
        <v>245</v>
      </c>
      <c r="H82" s="62" t="s">
        <v>279</v>
      </c>
      <c r="I82" s="62" t="s">
        <v>372</v>
      </c>
      <c r="J82" s="62" t="s">
        <v>337</v>
      </c>
      <c r="K82" s="62" t="s">
        <v>372</v>
      </c>
      <c r="L82" s="62">
        <v>1</v>
      </c>
      <c r="M82" s="37">
        <f t="shared" si="32"/>
        <v>40</v>
      </c>
      <c r="N82" s="62">
        <v>41</v>
      </c>
      <c r="O82" s="64" t="s">
        <v>385</v>
      </c>
      <c r="P82" s="65">
        <v>11.7394</v>
      </c>
      <c r="Q82" s="65">
        <f t="shared" ref="Q82" si="36">P82*N82</f>
        <v>481.31540000000001</v>
      </c>
      <c r="R82" s="62"/>
      <c r="S82" s="62"/>
    </row>
    <row r="83" spans="1:19" s="87" customFormat="1" ht="24" x14ac:dyDescent="0.25">
      <c r="A83" s="85"/>
      <c r="B83" s="44">
        <f>ROW(B83) - ROW($B$9)</f>
        <v>74</v>
      </c>
      <c r="C83" s="56" t="s">
        <v>24</v>
      </c>
      <c r="D83" s="58" t="s">
        <v>85</v>
      </c>
      <c r="E83" s="58" t="s">
        <v>151</v>
      </c>
      <c r="F83" s="58" t="s">
        <v>190</v>
      </c>
      <c r="G83" s="58" t="s">
        <v>246</v>
      </c>
      <c r="H83" s="58" t="s">
        <v>280</v>
      </c>
      <c r="I83" s="58" t="s">
        <v>372</v>
      </c>
      <c r="J83" s="58" t="s">
        <v>338</v>
      </c>
      <c r="K83" s="58" t="s">
        <v>372</v>
      </c>
      <c r="L83" s="58">
        <v>1</v>
      </c>
      <c r="M83" s="37">
        <f t="shared" si="32"/>
        <v>40</v>
      </c>
      <c r="N83" s="58">
        <v>41</v>
      </c>
      <c r="O83" s="55" t="s">
        <v>385</v>
      </c>
      <c r="P83" s="59">
        <v>1.9091</v>
      </c>
      <c r="Q83" s="59">
        <f>P83*N83</f>
        <v>78.273099999999999</v>
      </c>
      <c r="R83" s="57"/>
      <c r="S83" s="37"/>
    </row>
    <row r="84" spans="1:19" s="87" customFormat="1" ht="24" x14ac:dyDescent="0.25">
      <c r="A84" s="85"/>
      <c r="B84" s="45">
        <f t="shared" ref="B84" si="37">ROW(B84) - ROW($B$9)</f>
        <v>75</v>
      </c>
      <c r="C84" s="60" t="s">
        <v>24</v>
      </c>
      <c r="D84" s="62" t="s">
        <v>465</v>
      </c>
      <c r="E84" s="62" t="s">
        <v>466</v>
      </c>
      <c r="F84" s="62" t="s">
        <v>467</v>
      </c>
      <c r="G84" s="62" t="s">
        <v>468</v>
      </c>
      <c r="H84" s="62" t="s">
        <v>277</v>
      </c>
      <c r="I84" s="62" t="s">
        <v>372</v>
      </c>
      <c r="J84" s="62" t="s">
        <v>469</v>
      </c>
      <c r="K84" s="62" t="s">
        <v>372</v>
      </c>
      <c r="L84" s="62">
        <v>2</v>
      </c>
      <c r="M84" s="37">
        <f t="shared" si="32"/>
        <v>80</v>
      </c>
      <c r="N84" s="62">
        <v>85</v>
      </c>
      <c r="O84" s="64" t="s">
        <v>385</v>
      </c>
      <c r="P84" s="65">
        <v>8.9599999999999999E-2</v>
      </c>
      <c r="Q84" s="65">
        <f t="shared" ref="Q84:Q85" si="38">P84*N84</f>
        <v>7.6159999999999997</v>
      </c>
      <c r="R84" s="62"/>
      <c r="S84" s="74"/>
    </row>
    <row r="85" spans="1:19" s="87" customFormat="1" ht="48" x14ac:dyDescent="0.25">
      <c r="A85" s="85"/>
      <c r="B85" s="45">
        <f t="shared" si="0"/>
        <v>76</v>
      </c>
      <c r="C85" s="60" t="s">
        <v>26</v>
      </c>
      <c r="D85" s="61" t="s">
        <v>86</v>
      </c>
      <c r="E85" s="62" t="s">
        <v>152</v>
      </c>
      <c r="F85" s="62" t="s">
        <v>191</v>
      </c>
      <c r="G85" s="62" t="s">
        <v>247</v>
      </c>
      <c r="H85" s="62" t="s">
        <v>281</v>
      </c>
      <c r="I85" s="62" t="s">
        <v>372</v>
      </c>
      <c r="J85" s="62" t="s">
        <v>339</v>
      </c>
      <c r="K85" s="62" t="s">
        <v>372</v>
      </c>
      <c r="L85" s="62">
        <v>1</v>
      </c>
      <c r="M85" s="37">
        <f t="shared" si="32"/>
        <v>40</v>
      </c>
      <c r="N85" s="62">
        <v>45</v>
      </c>
      <c r="O85" s="64" t="s">
        <v>385</v>
      </c>
      <c r="P85" s="65">
        <v>7.5999999999999998E-2</v>
      </c>
      <c r="Q85" s="65">
        <f t="shared" si="38"/>
        <v>3.42</v>
      </c>
      <c r="R85" s="62"/>
      <c r="S85" s="62"/>
    </row>
    <row r="86" spans="1:19" s="87" customFormat="1" x14ac:dyDescent="0.25">
      <c r="A86" s="85"/>
      <c r="B86" s="45">
        <f t="shared" si="0"/>
        <v>77</v>
      </c>
      <c r="C86" s="60" t="s">
        <v>424</v>
      </c>
      <c r="D86" s="71" t="s">
        <v>429</v>
      </c>
      <c r="E86" s="62" t="s">
        <v>428</v>
      </c>
      <c r="F86" s="62" t="s">
        <v>384</v>
      </c>
      <c r="G86" s="62" t="s">
        <v>425</v>
      </c>
      <c r="H86" s="62" t="s">
        <v>427</v>
      </c>
      <c r="I86" s="62" t="s">
        <v>372</v>
      </c>
      <c r="J86" s="62" t="s">
        <v>426</v>
      </c>
      <c r="K86" s="62" t="s">
        <v>372</v>
      </c>
      <c r="L86" s="62">
        <v>1</v>
      </c>
      <c r="M86" s="37">
        <f t="shared" si="32"/>
        <v>40</v>
      </c>
      <c r="N86" s="62">
        <v>41</v>
      </c>
      <c r="O86" s="64" t="s">
        <v>385</v>
      </c>
      <c r="P86" s="65">
        <v>0.99439999999999995</v>
      </c>
      <c r="Q86" s="65">
        <f>P86*N86</f>
        <v>40.770399999999995</v>
      </c>
      <c r="R86" s="62"/>
      <c r="S86" s="62"/>
    </row>
    <row r="87" spans="1:19" s="87" customFormat="1" ht="24" x14ac:dyDescent="0.25">
      <c r="A87" s="85"/>
      <c r="B87" s="45">
        <f t="shared" ref="B87:B88" si="39">ROW(B87) - ROW($B$9)</f>
        <v>78</v>
      </c>
      <c r="C87" s="60" t="s">
        <v>424</v>
      </c>
      <c r="D87" s="71" t="s">
        <v>429</v>
      </c>
      <c r="E87" s="62" t="s">
        <v>432</v>
      </c>
      <c r="F87" s="62" t="s">
        <v>384</v>
      </c>
      <c r="G87" s="62" t="s">
        <v>430</v>
      </c>
      <c r="H87" s="62" t="s">
        <v>427</v>
      </c>
      <c r="I87" s="62" t="s">
        <v>372</v>
      </c>
      <c r="J87" s="62" t="s">
        <v>431</v>
      </c>
      <c r="K87" s="62" t="s">
        <v>372</v>
      </c>
      <c r="L87" s="62">
        <v>1</v>
      </c>
      <c r="M87" s="37">
        <f t="shared" si="32"/>
        <v>40</v>
      </c>
      <c r="N87" s="62">
        <v>41</v>
      </c>
      <c r="O87" s="64" t="s">
        <v>385</v>
      </c>
      <c r="P87" s="65">
        <v>1.2823</v>
      </c>
      <c r="Q87" s="65">
        <f>P87*N87</f>
        <v>52.574300000000001</v>
      </c>
      <c r="R87" s="62"/>
      <c r="S87" s="62"/>
    </row>
    <row r="88" spans="1:19" s="87" customFormat="1" ht="36.75" thickBot="1" x14ac:dyDescent="0.3">
      <c r="A88" s="85"/>
      <c r="B88" s="45">
        <f t="shared" si="39"/>
        <v>79</v>
      </c>
      <c r="C88" s="60" t="s">
        <v>424</v>
      </c>
      <c r="D88" s="71" t="s">
        <v>429</v>
      </c>
      <c r="E88" s="62" t="s">
        <v>434</v>
      </c>
      <c r="F88" s="62" t="s">
        <v>384</v>
      </c>
      <c r="G88" s="62" t="s">
        <v>433</v>
      </c>
      <c r="H88" s="62" t="s">
        <v>427</v>
      </c>
      <c r="I88" s="62" t="s">
        <v>372</v>
      </c>
      <c r="J88" s="62" t="s">
        <v>435</v>
      </c>
      <c r="K88" s="62" t="s">
        <v>372</v>
      </c>
      <c r="L88" s="62">
        <v>1</v>
      </c>
      <c r="M88" s="37">
        <f t="shared" si="32"/>
        <v>40</v>
      </c>
      <c r="N88" s="62">
        <v>41</v>
      </c>
      <c r="O88" s="64" t="s">
        <v>385</v>
      </c>
      <c r="P88" s="65">
        <v>0.54269999999999996</v>
      </c>
      <c r="Q88" s="65">
        <f>P88*N88</f>
        <v>22.250699999999998</v>
      </c>
      <c r="R88" s="62"/>
      <c r="S88" s="62"/>
    </row>
    <row r="89" spans="1:19" ht="19.5" thickBot="1" x14ac:dyDescent="0.3">
      <c r="A89" s="1"/>
      <c r="B89" s="38"/>
      <c r="C89" s="39"/>
      <c r="D89" s="40"/>
      <c r="E89" s="41"/>
      <c r="F89" s="42"/>
      <c r="G89" s="43"/>
      <c r="H89" s="42"/>
      <c r="I89" s="43"/>
      <c r="J89" s="42"/>
      <c r="K89" s="43"/>
      <c r="L89" s="43"/>
      <c r="M89" s="43"/>
      <c r="N89" s="83" t="s">
        <v>5</v>
      </c>
      <c r="O89" s="84"/>
      <c r="P89" s="84"/>
      <c r="Q89" s="46">
        <f>SUM(Q10:Q88)</f>
        <v>3484.2362000000003</v>
      </c>
      <c r="R89" s="79"/>
      <c r="S89" s="80"/>
    </row>
    <row r="90" spans="1:19" ht="19.5" thickBot="1" x14ac:dyDescent="0.3">
      <c r="A90" s="1"/>
      <c r="B90" s="25"/>
      <c r="C90" s="36"/>
      <c r="D90" s="9"/>
      <c r="E90" s="10"/>
      <c r="F90" s="10"/>
      <c r="G90" s="10"/>
      <c r="H90" s="10"/>
      <c r="I90" s="10"/>
      <c r="J90" s="10"/>
      <c r="K90" s="10"/>
      <c r="L90" s="10"/>
      <c r="M90" s="10"/>
      <c r="N90" s="83" t="s">
        <v>6</v>
      </c>
      <c r="O90" s="84"/>
      <c r="P90" s="84"/>
      <c r="Q90" s="47">
        <f>Q89/40</f>
        <v>87.105905000000007</v>
      </c>
      <c r="R90" s="81"/>
      <c r="S90" s="82"/>
    </row>
  </sheetData>
  <mergeCells count="5">
    <mergeCell ref="K1:S1"/>
    <mergeCell ref="S3:S8"/>
    <mergeCell ref="N89:P89"/>
    <mergeCell ref="R89:S90"/>
    <mergeCell ref="N90:P90"/>
  </mergeCells>
  <hyperlinks>
    <hyperlink ref="O10" r:id="rId1"/>
    <hyperlink ref="O11" r:id="rId2"/>
    <hyperlink ref="O13" r:id="rId3"/>
    <hyperlink ref="O14" r:id="rId4"/>
    <hyperlink ref="O15" r:id="rId5"/>
    <hyperlink ref="O16" r:id="rId6"/>
    <hyperlink ref="O18" r:id="rId7"/>
    <hyperlink ref="O19" r:id="rId8"/>
    <hyperlink ref="O22" r:id="rId9"/>
    <hyperlink ref="O23" r:id="rId10"/>
    <hyperlink ref="O24" r:id="rId11"/>
    <hyperlink ref="O26" r:id="rId12"/>
    <hyperlink ref="O27" r:id="rId13"/>
    <hyperlink ref="O28" r:id="rId14"/>
    <hyperlink ref="O29" r:id="rId15"/>
    <hyperlink ref="O30" r:id="rId16"/>
    <hyperlink ref="O31" r:id="rId17"/>
    <hyperlink ref="O32" r:id="rId18"/>
    <hyperlink ref="O33" r:id="rId19"/>
    <hyperlink ref="O34" r:id="rId20"/>
    <hyperlink ref="O35" r:id="rId21"/>
    <hyperlink ref="O38" r:id="rId22"/>
    <hyperlink ref="O39" r:id="rId23"/>
    <hyperlink ref="O40" r:id="rId24"/>
    <hyperlink ref="O42" r:id="rId25"/>
    <hyperlink ref="O43" r:id="rId26"/>
    <hyperlink ref="O44" r:id="rId27"/>
    <hyperlink ref="O45" r:id="rId28"/>
    <hyperlink ref="O46" r:id="rId29"/>
    <hyperlink ref="O47" r:id="rId30"/>
    <hyperlink ref="O51" r:id="rId31"/>
    <hyperlink ref="O52" r:id="rId32"/>
    <hyperlink ref="O53" r:id="rId33"/>
    <hyperlink ref="O54" r:id="rId34"/>
    <hyperlink ref="O55" r:id="rId35"/>
    <hyperlink ref="O56" r:id="rId36"/>
    <hyperlink ref="O57" r:id="rId37"/>
    <hyperlink ref="O58" r:id="rId38"/>
    <hyperlink ref="O59" r:id="rId39"/>
    <hyperlink ref="O60" r:id="rId40"/>
    <hyperlink ref="O61" r:id="rId41"/>
    <hyperlink ref="O62" r:id="rId42"/>
    <hyperlink ref="O63" r:id="rId43"/>
    <hyperlink ref="O64" r:id="rId44"/>
    <hyperlink ref="O65" r:id="rId45"/>
    <hyperlink ref="O66" r:id="rId46"/>
    <hyperlink ref="O67" r:id="rId47"/>
    <hyperlink ref="O68" r:id="rId48"/>
    <hyperlink ref="O69" r:id="rId49"/>
    <hyperlink ref="O73" r:id="rId50"/>
    <hyperlink ref="O74" r:id="rId51"/>
    <hyperlink ref="O75" r:id="rId52"/>
    <hyperlink ref="O76" r:id="rId53"/>
    <hyperlink ref="O77" r:id="rId54"/>
    <hyperlink ref="O78" r:id="rId55"/>
    <hyperlink ref="O80" r:id="rId56"/>
    <hyperlink ref="O81" r:id="rId57"/>
    <hyperlink ref="O82" r:id="rId58"/>
    <hyperlink ref="O83" r:id="rId59"/>
    <hyperlink ref="O85" r:id="rId60"/>
    <hyperlink ref="O25" r:id="rId61"/>
    <hyperlink ref="O12" r:id="rId62"/>
    <hyperlink ref="O17" r:id="rId63"/>
    <hyperlink ref="O36" r:id="rId64"/>
    <hyperlink ref="O37" r:id="rId65"/>
    <hyperlink ref="O20" r:id="rId66"/>
    <hyperlink ref="O49" r:id="rId67"/>
    <hyperlink ref="O86" r:id="rId68"/>
    <hyperlink ref="O87" r:id="rId69"/>
    <hyperlink ref="O88" r:id="rId70"/>
    <hyperlink ref="O41" r:id="rId71"/>
    <hyperlink ref="O79" r:id="rId72"/>
    <hyperlink ref="O48" r:id="rId73"/>
    <hyperlink ref="O70" r:id="rId74"/>
    <hyperlink ref="O71" r:id="rId75"/>
    <hyperlink ref="O84" r:id="rId76"/>
    <hyperlink ref="O21" r:id="rId77"/>
  </hyperlinks>
  <pageMargins left="0.7" right="0.7" top="0.75" bottom="0.75" header="0.3" footer="0.3"/>
  <drawing r:id="rId7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boards</vt:lpstr>
      <vt:lpstr>40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2023-05-10T15:48:41Z</dcterms:modified>
</cp:coreProperties>
</file>