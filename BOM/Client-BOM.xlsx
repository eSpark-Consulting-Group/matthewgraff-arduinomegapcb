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matthewgraff-arduinomegapcb\BOM\"/>
    </mc:Choice>
  </mc:AlternateContent>
  <xr:revisionPtr revIDLastSave="0" documentId="13_ncr:1_{37C35280-50FE-49E7-BDC2-AE55C783557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B11" i="1" l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B10" i="1"/>
</calcChain>
</file>

<file path=xl/sharedStrings.xml><?xml version="1.0" encoding="utf-8"?>
<sst xmlns="http://schemas.openxmlformats.org/spreadsheetml/2006/main" count="536" uniqueCount="363">
  <si>
    <t>Component list</t>
  </si>
  <si>
    <t>Source Data From:</t>
  </si>
  <si>
    <t>Project:</t>
  </si>
  <si>
    <t>Variant:</t>
  </si>
  <si>
    <t>#</t>
  </si>
  <si>
    <t>None</t>
  </si>
  <si>
    <t>Item Type</t>
  </si>
  <si>
    <t>Capacitor</t>
  </si>
  <si>
    <t>Diode</t>
  </si>
  <si>
    <t>TVS Diode</t>
  </si>
  <si>
    <t>Fuse</t>
  </si>
  <si>
    <t>Ferrite Bead</t>
  </si>
  <si>
    <t>USB Connector</t>
  </si>
  <si>
    <t>Terminal Block</t>
  </si>
  <si>
    <t>SIM Card Connectors</t>
  </si>
  <si>
    <t>Connector</t>
  </si>
  <si>
    <t>SD Card Connector</t>
  </si>
  <si>
    <t>Inductor</t>
  </si>
  <si>
    <t>LED</t>
  </si>
  <si>
    <t>OLED Module</t>
  </si>
  <si>
    <t>Mosfet</t>
  </si>
  <si>
    <t>Resistor</t>
  </si>
  <si>
    <t>IC</t>
  </si>
  <si>
    <t>Module</t>
  </si>
  <si>
    <t>Crystal</t>
  </si>
  <si>
    <t>Designator</t>
  </si>
  <si>
    <t>C1</t>
  </si>
  <si>
    <t>C2, C7, C9, C10, C12, C13, C19, C20, C21, C22, C29, C30, C31, C32, C33, C34, C35, C37, C40, C41, C44, C45, C46, C47, C48, C49, C51, C54</t>
  </si>
  <si>
    <t>C3, C5</t>
  </si>
  <si>
    <t>C8</t>
  </si>
  <si>
    <t>C11, C14, C15, C16, C17, C18, C23, C24, C25, C26, C27, C28</t>
  </si>
  <si>
    <t>C38</t>
  </si>
  <si>
    <t>C39</t>
  </si>
  <si>
    <t>C42, C43</t>
  </si>
  <si>
    <t>C50, C52</t>
  </si>
  <si>
    <t>D1, D2, D3, D17, D18, D23, D24</t>
  </si>
  <si>
    <t>D4, D5</t>
  </si>
  <si>
    <t>D6</t>
  </si>
  <si>
    <t>D7</t>
  </si>
  <si>
    <t>D8, D9, D10, D11, D12, D13, D14, D15</t>
  </si>
  <si>
    <t>D16</t>
  </si>
  <si>
    <t>D19, D20, D21</t>
  </si>
  <si>
    <t>D22</t>
  </si>
  <si>
    <t>D25, D26, D27, D28, D29</t>
  </si>
  <si>
    <t>F1</t>
  </si>
  <si>
    <t>F2, F3</t>
  </si>
  <si>
    <t>FB1</t>
  </si>
  <si>
    <t>FB2, FB3, FB4, FB5, FB6, FB7, FB8, FB9</t>
  </si>
  <si>
    <t>J1, J2</t>
  </si>
  <si>
    <t>J3</t>
  </si>
  <si>
    <t>J4, J5, J6, J7, J11, J15</t>
  </si>
  <si>
    <t>J8, J10</t>
  </si>
  <si>
    <t>J9</t>
  </si>
  <si>
    <t>J12</t>
  </si>
  <si>
    <t>J13</t>
  </si>
  <si>
    <t>J14</t>
  </si>
  <si>
    <t>L1</t>
  </si>
  <si>
    <t>L2</t>
  </si>
  <si>
    <t>L3</t>
  </si>
  <si>
    <t>LED1, LED2, LED3</t>
  </si>
  <si>
    <t>LED4, LED6, LED8, LED9</t>
  </si>
  <si>
    <t>LED5</t>
  </si>
  <si>
    <t>LED7</t>
  </si>
  <si>
    <t>P1, P2, P3, P4, P5, P6</t>
  </si>
  <si>
    <t>Q1, Q2, Q3, Q4</t>
  </si>
  <si>
    <t>R1</t>
  </si>
  <si>
    <t>R2</t>
  </si>
  <si>
    <t>R3, R8, R9, R12, R13, R14, R15, R18, R19, R24, R38, R39, R40</t>
  </si>
  <si>
    <t>R4</t>
  </si>
  <si>
    <t>R5</t>
  </si>
  <si>
    <t>R6, R44</t>
  </si>
  <si>
    <t>R7, R25, R26</t>
  </si>
  <si>
    <t>R10, R11, R16, R17</t>
  </si>
  <si>
    <t>R20</t>
  </si>
  <si>
    <t>R21, R22, R23</t>
  </si>
  <si>
    <t>R27, R29, R31, R33, R36, R37</t>
  </si>
  <si>
    <t>R28, R30, R32, R34</t>
  </si>
  <si>
    <t>R35</t>
  </si>
  <si>
    <t>R41, R45, R46</t>
  </si>
  <si>
    <t>R42</t>
  </si>
  <si>
    <t>R43</t>
  </si>
  <si>
    <t>R47</t>
  </si>
  <si>
    <t>R48</t>
  </si>
  <si>
    <t>SB1, SB2</t>
  </si>
  <si>
    <t>SW1</t>
  </si>
  <si>
    <t>U1</t>
  </si>
  <si>
    <t>U2</t>
  </si>
  <si>
    <t>U3</t>
  </si>
  <si>
    <t>U4, U5, U6, U7</t>
  </si>
  <si>
    <t>U8, U9</t>
  </si>
  <si>
    <t>U10</t>
  </si>
  <si>
    <t>U11</t>
  </si>
  <si>
    <t>U12</t>
  </si>
  <si>
    <t>U13</t>
  </si>
  <si>
    <t>X1</t>
  </si>
  <si>
    <t>Description</t>
  </si>
  <si>
    <t>CAP CER 10UF 16V X5R 0603</t>
  </si>
  <si>
    <t>CAP CER 0.1UF 50V X5R 0603</t>
  </si>
  <si>
    <t>CAP ALUM POLY 120UF 20% 20V SMD</t>
  </si>
  <si>
    <t>CAP TANT POLY 330UF 6.3V 2917</t>
  </si>
  <si>
    <t>CAP CER 10000PF 16V X7R 0603</t>
  </si>
  <si>
    <t>CAP CER 1UF 25V X5R 0603</t>
  </si>
  <si>
    <t>CAP CER 33PF 25V C0G/NP0 0402</t>
  </si>
  <si>
    <t>CAP CER 20PF 50V C0G/NPO 0603</t>
  </si>
  <si>
    <t>CAP CER 4.7UF 16V X5R 0603</t>
  </si>
  <si>
    <t>TVS DIODE 5VWM 6.3VC DSN0603-2</t>
  </si>
  <si>
    <t>16A 20V 7V 5V@Max Unidirectional SOT-23 TVS ROHS</t>
  </si>
  <si>
    <t>0.5mA@40V 40V Single 3A 0.55V@3A SMA(DO-214AC) Schottky Barrier Diodes (SBD) ROHS</t>
  </si>
  <si>
    <t>20V 500mV@3A 3A SMA(DO-214AC) Schottky Barrier Diodes (SBD) ROHS</t>
  </si>
  <si>
    <t>DIODE GEN PURP 75V 150MA SOD323</t>
  </si>
  <si>
    <t>TVS DIODE 3VWM SOT3235</t>
  </si>
  <si>
    <t>35A@8/20us 15V 4.5V@Max Unidirectional DFN1006 TVS ROHS</t>
  </si>
  <si>
    <t>0402 TVS ROHS</t>
  </si>
  <si>
    <t>DFN1006-2L ESD Protection Devices ROHS</t>
  </si>
  <si>
    <t>PTC RESET FUSE 6V 3A 1206</t>
  </si>
  <si>
    <t>6V 500mA 40A 1A 0603 Resettable Fuses ROHS</t>
  </si>
  <si>
    <t>FERRITE BEAD 120 OHM 1206 1LN</t>
  </si>
  <si>
    <t>FERRITE BEAD 1K OHM 0805 1LN</t>
  </si>
  <si>
    <t>CONN RCPT USB2.0 MICRO B SMD R/A</t>
  </si>
  <si>
    <t>CONN RCPT USB2.0 MICRO B SMD</t>
  </si>
  <si>
    <t>TERM BLK 2POS TOP ENT 5.08MM PCB</t>
  </si>
  <si>
    <t>CONN U.FL RCPT STR 50 OHM SMD</t>
  </si>
  <si>
    <t>Copper Alloy Self bomb Gold plating 1.25mm Deck -40℃~+85℃ 260℃ NanoSIM SMD SIM Card Connectors ROHS</t>
  </si>
  <si>
    <t>2.54mm -40℃~+105℃ Straight 3A 250V 5 Push - Pull 2.54mm 2 Plugin,P=2.54mm IDC Connectors ROHS</t>
  </si>
  <si>
    <t>2.54mm -40℃~+105℃ Straight 3A 250V 3 Push - Pull 2.54mm 2 Plugin,P=2.54mm IDC Connectors ROHS</t>
  </si>
  <si>
    <t>CONN MICRO SD CARD PUSH-PUSH R/A</t>
  </si>
  <si>
    <t>22uH ±20% SMD Power Inductors ROHS</t>
  </si>
  <si>
    <t>2.6A 22uH ±20% 0.085Ω 2.6A SMD,12.95x9.4x5.21mm Power Inductors ROHS</t>
  </si>
  <si>
    <t>FIXED IND 27NH 590MA 116MOHM SMD</t>
  </si>
  <si>
    <t>Red 632nm LED Indication - Discrete 2.05V 0603 (1608 Metric)</t>
  </si>
  <si>
    <t>Yellow-Green 572nm LED Indication - Discrete 2.05V 0603 (1608 Metric)</t>
  </si>
  <si>
    <t>1.5inch (128×128) SPI RGB OLED Display Module</t>
  </si>
  <si>
    <t>ZIO QWIIC 1.5INCH OLED DISPLAY</t>
  </si>
  <si>
    <t>Test Point ON</t>
  </si>
  <si>
    <t>40V 100mW 100@10mA,1V 200mA 300MHz 300mV@50mA,5mA NPN -55℃~+150℃@(Tj) SOT-723 Bipolar Transistors - BJT ROHS</t>
  </si>
  <si>
    <t>RES SMD 2.1K OHM 0.1% 1/10W 0603</t>
  </si>
  <si>
    <t>RES SMD 1K OHM 0.1% 1/10W 0603</t>
  </si>
  <si>
    <t>RES SMD 10K Ohm 1% 1/10W 0603</t>
  </si>
  <si>
    <t>RES SMD 62K OHM 0.1% 1/10W 0603</t>
  </si>
  <si>
    <t>RES SMD 3.16KOHM 0.1% 1/10W 0603</t>
  </si>
  <si>
    <t>RES SMD 1.2K OHM 1% 1/10W 0603</t>
  </si>
  <si>
    <t>RES 180 OHM 1% 1/10W 0603</t>
  </si>
  <si>
    <t>RES 16K OHM 0.5% 1/10W 0603</t>
  </si>
  <si>
    <t>RES SMD 10 OHM 1% 1/10W 0603</t>
  </si>
  <si>
    <t>RES 22 OHM 1% 1/10W 0603</t>
  </si>
  <si>
    <t>RES SMD 4.7K OHM 5% 1/10W 0603</t>
  </si>
  <si>
    <t>RES 47K OHM 5% 1/10W 0603</t>
  </si>
  <si>
    <t>RES SMD 1M OHM 1% 1/10W 0603</t>
  </si>
  <si>
    <t>RES 470 OHM 1% 1/10W 0603</t>
  </si>
  <si>
    <t>RES 22.1K OHM 1% 1/10W 0603</t>
  </si>
  <si>
    <t>RES 47.5K OHM 1% 1/10W 0603</t>
  </si>
  <si>
    <t>RES 22 OHM 1% 1/16W 0402</t>
  </si>
  <si>
    <t>RES 100K OHM 1% 1/16W 0402</t>
  </si>
  <si>
    <t>Solder Bridge ON</t>
  </si>
  <si>
    <t>SWITCH TACTILE SPST-NO 0.05A 12V</t>
  </si>
  <si>
    <t>15V 1.3V @ 800mA Fixed 3.3V SOT-223 Linear Voltage Regulators (LDO) ROHS</t>
  </si>
  <si>
    <t>IC REG BUCK ADJ 3A TO263-5</t>
  </si>
  <si>
    <t>boost converterType 1 Boost 28V 2V~24V 1.2MHz SOT-23-6 DC-DC Converters ROHS</t>
  </si>
  <si>
    <t>IC CONV THERMOCOUPLE 14TSSOP</t>
  </si>
  <si>
    <t>IC TRNSLTR BIDIRECTIONAL US8</t>
  </si>
  <si>
    <t>IC TRANSLATOR BIDIR 14TSSOP</t>
  </si>
  <si>
    <t>eMTC CAT-M1 Module 700MHz/1700MHz/1900MHz 3.8V LCC</t>
  </si>
  <si>
    <t>IC MCU 8BIT 256KB FLASH 100TQFP</t>
  </si>
  <si>
    <t>IC USB TO UART BRIDGE QFN24</t>
  </si>
  <si>
    <t>16MHz SMD Crystal Resonator 9pF ±10ppm ±30ppm -40℃~+85℃ SMD3225-4P Crystals ROHS</t>
  </si>
  <si>
    <t>Footprint</t>
  </si>
  <si>
    <t>Cap-0603</t>
  </si>
  <si>
    <t>Cap-0805</t>
  </si>
  <si>
    <t>20SVPF120M</t>
  </si>
  <si>
    <t>Case-D</t>
  </si>
  <si>
    <t>Cap-0402</t>
  </si>
  <si>
    <t>DSN0603-2</t>
  </si>
  <si>
    <t>Sot-23</t>
  </si>
  <si>
    <t>SMA</t>
  </si>
  <si>
    <t>SOD-323</t>
  </si>
  <si>
    <t>SOT-323-5</t>
  </si>
  <si>
    <t>DFN1006-2L_</t>
  </si>
  <si>
    <t>Diode 0402</t>
  </si>
  <si>
    <t>Fuse 1206 (3216 Metric)</t>
  </si>
  <si>
    <t>Fuse-0603</t>
  </si>
  <si>
    <t>IND-1206</t>
  </si>
  <si>
    <t>Ind-0805</t>
  </si>
  <si>
    <t>HA0200500000G</t>
  </si>
  <si>
    <t>XKNANO-113</t>
  </si>
  <si>
    <t>BH254V-10P</t>
  </si>
  <si>
    <t>BH254V-6P</t>
  </si>
  <si>
    <t>DM3BT-DSF-PEJS</t>
  </si>
  <si>
    <t>SMRH74-220MT</t>
  </si>
  <si>
    <t>SSL0804T-220M-N</t>
  </si>
  <si>
    <t>IND-0603 (1608 Metric)</t>
  </si>
  <si>
    <t>LED-0603</t>
  </si>
  <si>
    <t>1.5inch RGB OLED</t>
  </si>
  <si>
    <t>ZIO-101954</t>
  </si>
  <si>
    <t>Test-point</t>
  </si>
  <si>
    <t>SOT-723</t>
  </si>
  <si>
    <t>Res-0603</t>
  </si>
  <si>
    <t>Res-0402</t>
  </si>
  <si>
    <t>Solder Bridge</t>
  </si>
  <si>
    <t>SOT- 223</t>
  </si>
  <si>
    <t>DDPAK</t>
  </si>
  <si>
    <t>SOT-23-6</t>
  </si>
  <si>
    <t>14-TSSOP</t>
  </si>
  <si>
    <t>VSSOP-8(2x2.3x0.5)</t>
  </si>
  <si>
    <t>SIM7000A</t>
  </si>
  <si>
    <t>TQFP-100(14x14)</t>
  </si>
  <si>
    <t>24-QFN (4x4)</t>
  </si>
  <si>
    <t>SMD3225-4P</t>
  </si>
  <si>
    <t>Manufacturer Part Number</t>
  </si>
  <si>
    <t>CC0603KRX5R7BB106</t>
  </si>
  <si>
    <t>CS2012X5R226M250NRE</t>
  </si>
  <si>
    <t>6TPB330ML</t>
  </si>
  <si>
    <t>CC0603KRX7R7BB103</t>
  </si>
  <si>
    <t>CC0603KRX5R8BB105</t>
  </si>
  <si>
    <t>CC0603JRNPO9BN200</t>
  </si>
  <si>
    <t>CC0603KRX5R7BB475</t>
  </si>
  <si>
    <t>PESD5V0H1BSFYL</t>
  </si>
  <si>
    <t>ESD5302F-3/TR</t>
  </si>
  <si>
    <t>SS34</t>
  </si>
  <si>
    <t>SS32</t>
  </si>
  <si>
    <t>1N4148WS-7-F</t>
  </si>
  <si>
    <t>ESDA6V1W5</t>
  </si>
  <si>
    <t>ESD5651N-2/TR</t>
  </si>
  <si>
    <t>LXES15AAA1-153</t>
  </si>
  <si>
    <t>ESD5451N-2/TR</t>
  </si>
  <si>
    <t>1206L300SLTHYR</t>
  </si>
  <si>
    <t>SMD0603-050</t>
  </si>
  <si>
    <t>BLM31PG121SN1L</t>
  </si>
  <si>
    <t>MMZ2012R102ATD25</t>
  </si>
  <si>
    <t>10118194-0001LF</t>
  </si>
  <si>
    <t>105133-0011</t>
  </si>
  <si>
    <t>U.FL-R-SMT-1(80)</t>
  </si>
  <si>
    <t>LQW18AN27NG10D</t>
  </si>
  <si>
    <t>19-21/R7C-AK1L2BY/3T</t>
  </si>
  <si>
    <t>19-21/G6C-FM1N2B/3T</t>
  </si>
  <si>
    <t>1.5inch RGB OLED Module</t>
  </si>
  <si>
    <t>MMBT3904M</t>
  </si>
  <si>
    <t>RT0603BRD072K1L</t>
  </si>
  <si>
    <t>RT0603BRD071KL</t>
  </si>
  <si>
    <t>RC0603FR-0710KL</t>
  </si>
  <si>
    <t>RT0603BRD0762KL</t>
  </si>
  <si>
    <t>RT0603BRD073K16L</t>
  </si>
  <si>
    <t>RC0603FR-071K2L</t>
  </si>
  <si>
    <t>RC0603FR-07180RL</t>
  </si>
  <si>
    <t>RC0603DR-0716KL</t>
  </si>
  <si>
    <t>RC0603FR-0710RL</t>
  </si>
  <si>
    <t>RC0603FR-0722RL</t>
  </si>
  <si>
    <t>RC0603JR-074K7L</t>
  </si>
  <si>
    <t>RC0603JR-0747KL</t>
  </si>
  <si>
    <t>RC0603FR-071ML</t>
  </si>
  <si>
    <t>RC0603FR-07470RL</t>
  </si>
  <si>
    <t>RC0603FR-0722K1L</t>
  </si>
  <si>
    <t>RC0603FR-0747K5L</t>
  </si>
  <si>
    <t>RC0402FR-0722RL</t>
  </si>
  <si>
    <t>RC0402FR-07100KL</t>
  </si>
  <si>
    <t>TL3301NF160QG/TR</t>
  </si>
  <si>
    <t>AZ1117CH-3.3TRG1</t>
  </si>
  <si>
    <t>LM2596S-ADJ/NOPB</t>
  </si>
  <si>
    <t>MT3608</t>
  </si>
  <si>
    <t>MAX31856MUD+T</t>
  </si>
  <si>
    <t>TXB0102DCUT</t>
  </si>
  <si>
    <t>TXB0104PWR</t>
  </si>
  <si>
    <t>ATMEGA2560-16AU</t>
  </si>
  <si>
    <t>CP2102N-A02-GQFN24R</t>
  </si>
  <si>
    <t>X322516MLB4SI</t>
  </si>
  <si>
    <t>Manufacturer</t>
  </si>
  <si>
    <t>Yageo</t>
  </si>
  <si>
    <t>Panasonic</t>
  </si>
  <si>
    <t>Murata</t>
  </si>
  <si>
    <t>Nexperia</t>
  </si>
  <si>
    <t>WILLSEMI</t>
  </si>
  <si>
    <t>MDD</t>
  </si>
  <si>
    <t>Diodes</t>
  </si>
  <si>
    <t>STMicroelectronics</t>
  </si>
  <si>
    <t>WILLSEMI(Will Semicon)</t>
  </si>
  <si>
    <t>Leiditech</t>
  </si>
  <si>
    <t>Littelfuse</t>
  </si>
  <si>
    <t>TECHFUSE</t>
  </si>
  <si>
    <t>TDK</t>
  </si>
  <si>
    <t>Amphenol FCI</t>
  </si>
  <si>
    <t>Molex</t>
  </si>
  <si>
    <t>Amphenol</t>
  </si>
  <si>
    <t>Hirose</t>
  </si>
  <si>
    <t>XKB Connectivity</t>
  </si>
  <si>
    <t>XFCN</t>
  </si>
  <si>
    <t>SXN(Shun Xiang Nuo Elec)</t>
  </si>
  <si>
    <t>Chilisin Elec</t>
  </si>
  <si>
    <t>Everlight Elec</t>
  </si>
  <si>
    <t>Waveshare</t>
  </si>
  <si>
    <t>Smart Prototyping</t>
  </si>
  <si>
    <t>TECH PUBLIC</t>
  </si>
  <si>
    <t>E-Switch</t>
  </si>
  <si>
    <t>Diodes Incorporated</t>
  </si>
  <si>
    <t>TI National Semiconductor</t>
  </si>
  <si>
    <t>XI'AN Aerosemi Tech</t>
  </si>
  <si>
    <t>Maxim</t>
  </si>
  <si>
    <t>Texas Instruments</t>
  </si>
  <si>
    <t>Simcom</t>
  </si>
  <si>
    <t>Microchip</t>
  </si>
  <si>
    <t>Silicon Labs</t>
  </si>
  <si>
    <t>Yangxing Tech</t>
  </si>
  <si>
    <t>10uF</t>
  </si>
  <si>
    <t>100nF</t>
  </si>
  <si>
    <t>22uF</t>
  </si>
  <si>
    <t>120uF</t>
  </si>
  <si>
    <t>330uF</t>
  </si>
  <si>
    <t>10nF</t>
  </si>
  <si>
    <t>1uF</t>
  </si>
  <si>
    <t>33pF</t>
  </si>
  <si>
    <t>20pF</t>
  </si>
  <si>
    <t>4.7uF</t>
  </si>
  <si>
    <t>100MHz</t>
  </si>
  <si>
    <t>22uH</t>
  </si>
  <si>
    <t>27nH</t>
  </si>
  <si>
    <t>RED</t>
  </si>
  <si>
    <t>TEST POINT</t>
  </si>
  <si>
    <t>2.1K</t>
  </si>
  <si>
    <t>10K</t>
  </si>
  <si>
    <t>62K</t>
  </si>
  <si>
    <t>3.16K</t>
  </si>
  <si>
    <t>1.2K</t>
  </si>
  <si>
    <t>180R</t>
  </si>
  <si>
    <t>16K</t>
  </si>
  <si>
    <t>10R</t>
  </si>
  <si>
    <t>22R</t>
  </si>
  <si>
    <t>4.7K</t>
  </si>
  <si>
    <t>47K</t>
  </si>
  <si>
    <t>1M</t>
  </si>
  <si>
    <t>470R</t>
  </si>
  <si>
    <t>22.1K</t>
  </si>
  <si>
    <t>47.5K</t>
  </si>
  <si>
    <t>100K</t>
  </si>
  <si>
    <t>Quantity</t>
  </si>
  <si>
    <t>25V 22uF X5R ±20% 0805</t>
  </si>
  <si>
    <t>Custom</t>
  </si>
  <si>
    <t>SMA(DO-214AC)</t>
  </si>
  <si>
    <t>UFL Connector</t>
  </si>
  <si>
    <t>-</t>
  </si>
  <si>
    <t xml:space="preserve">Solder Bridge </t>
  </si>
  <si>
    <t>Switch</t>
  </si>
  <si>
    <t>UMK107B104KAHT</t>
  </si>
  <si>
    <t>Samwha Capacitor</t>
  </si>
  <si>
    <t>ON Semiconductor / Fairchild</t>
  </si>
  <si>
    <t>Value</t>
  </si>
  <si>
    <t>1K</t>
  </si>
  <si>
    <t>Quantity (5 Boards)</t>
  </si>
  <si>
    <t>Remarks</t>
  </si>
  <si>
    <t>Bill of Materials for Project [Mega2560_Custom]</t>
  </si>
  <si>
    <t>Mega2560_Custom</t>
  </si>
  <si>
    <t>Peripheral</t>
  </si>
  <si>
    <t>---</t>
  </si>
  <si>
    <t>Antennas ROHS</t>
  </si>
  <si>
    <t>BW4GJWX195-13KJ</t>
  </si>
  <si>
    <t>BAT WIRELESS</t>
  </si>
  <si>
    <t>IPEX-25x25x4.6mm Antennas ROHS</t>
  </si>
  <si>
    <t>BWGNSCNX25-25B1Y2L120</t>
  </si>
  <si>
    <t>65℃~+165℃ 200mm IPEX to SMA 1Gen - Radio Frequency Cable ROHS</t>
  </si>
  <si>
    <t>BWIPX1-SMA-1.13L200</t>
  </si>
  <si>
    <t>C6, C4, C36</t>
  </si>
  <si>
    <t>C53</t>
  </si>
  <si>
    <t>CAP ALUM POLY 47UF 20% 25V SMD</t>
  </si>
  <si>
    <t>25SVPF47M</t>
  </si>
  <si>
    <t>47uF</t>
  </si>
  <si>
    <t>CC0402JRNPO8BN330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</si>
</sst>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:ss\ AM/PM;@"/>
  </numFmts>
  <fonts count="24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6" fillId="3" borderId="11" xfId="0" applyFont="1" applyFill="1" applyBorder="1" applyAlignment="1">
      <alignment vertical="center"/>
    </xf>
    <xf numFmtId="0" fontId="7" fillId="3" borderId="0" xfId="0" applyFont="1" applyFill="1"/>
    <xf numFmtId="0" fontId="8" fillId="3" borderId="5" xfId="0" applyFont="1" applyFill="1" applyBorder="1"/>
    <xf numFmtId="0" fontId="8" fillId="3" borderId="6" xfId="0" applyFont="1" applyFill="1" applyBorder="1"/>
    <xf numFmtId="0" fontId="9" fillId="3" borderId="0" xfId="0" applyFont="1" applyFill="1"/>
    <xf numFmtId="0" fontId="10" fillId="3" borderId="3" xfId="0" applyFont="1" applyFill="1" applyBorder="1" applyAlignment="1" applyProtection="1">
      <alignment horizontal="left" vertical="top"/>
      <protection locked="0"/>
    </xf>
    <xf numFmtId="0" fontId="11" fillId="3" borderId="3" xfId="0" applyFont="1" applyFill="1" applyBorder="1" applyAlignment="1" applyProtection="1">
      <alignment horizontal="left" vertical="top"/>
      <protection locked="0"/>
    </xf>
    <xf numFmtId="0" fontId="13" fillId="3" borderId="10" xfId="0" applyFont="1" applyFill="1" applyBorder="1" applyAlignment="1">
      <alignment vertical="center"/>
    </xf>
    <xf numFmtId="0" fontId="14" fillId="3" borderId="11" xfId="0" applyFont="1" applyFill="1" applyBorder="1" applyAlignment="1">
      <alignment vertical="center"/>
    </xf>
    <xf numFmtId="0" fontId="10" fillId="3" borderId="0" xfId="0" applyFont="1" applyFill="1"/>
    <xf numFmtId="0" fontId="12" fillId="3" borderId="6" xfId="0" applyFont="1" applyFill="1" applyBorder="1"/>
    <xf numFmtId="0" fontId="12" fillId="3" borderId="5" xfId="0" applyFont="1" applyFill="1" applyBorder="1"/>
    <xf numFmtId="0" fontId="10" fillId="3" borderId="5" xfId="0" applyFont="1" applyFill="1" applyBorder="1"/>
    <xf numFmtId="0" fontId="12" fillId="3" borderId="5" xfId="0" applyFont="1" applyFill="1" applyBorder="1" applyAlignment="1">
      <alignment horizontal="left"/>
    </xf>
    <xf numFmtId="0" fontId="15" fillId="3" borderId="0" xfId="0" applyFont="1" applyFill="1"/>
    <xf numFmtId="0" fontId="12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12" fillId="3" borderId="13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4" fillId="3" borderId="7" xfId="0" applyFont="1" applyFill="1" applyBorder="1" applyAlignment="1">
      <alignment horizontal="center"/>
    </xf>
    <xf numFmtId="0" fontId="12" fillId="3" borderId="0" xfId="0" applyFont="1" applyFill="1"/>
    <xf numFmtId="164" fontId="12" fillId="3" borderId="0" xfId="0" applyNumberFormat="1" applyFont="1" applyFill="1" applyAlignment="1">
      <alignment horizontal="left"/>
    </xf>
    <xf numFmtId="0" fontId="16" fillId="5" borderId="14" xfId="0" applyFont="1" applyFill="1" applyBorder="1" applyAlignment="1">
      <alignment horizontal="center" vertical="center"/>
    </xf>
    <xf numFmtId="0" fontId="16" fillId="5" borderId="11" xfId="0" applyFont="1" applyFill="1" applyBorder="1" applyAlignment="1">
      <alignment horizontal="center" vertical="center"/>
    </xf>
    <xf numFmtId="0" fontId="10" fillId="3" borderId="9" xfId="0" applyFont="1" applyFill="1" applyBorder="1" applyAlignment="1" applyProtection="1">
      <alignment horizontal="center" vertical="center"/>
      <protection locked="0"/>
    </xf>
    <xf numFmtId="0" fontId="10" fillId="3" borderId="10" xfId="0" applyFont="1" applyFill="1" applyBorder="1" applyAlignment="1" applyProtection="1">
      <alignment vertical="center"/>
      <protection locked="0"/>
    </xf>
    <xf numFmtId="0" fontId="11" fillId="3" borderId="10" xfId="0" applyFont="1" applyFill="1" applyBorder="1" applyAlignment="1" applyProtection="1">
      <alignment horizontal="left" vertical="center"/>
      <protection locked="0"/>
    </xf>
    <xf numFmtId="0" fontId="0" fillId="3" borderId="10" xfId="0" applyFill="1" applyBorder="1" applyAlignment="1">
      <alignment vertical="center"/>
    </xf>
    <xf numFmtId="0" fontId="0" fillId="3" borderId="10" xfId="0" applyFill="1" applyBorder="1"/>
    <xf numFmtId="0" fontId="17" fillId="4" borderId="16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vertical="center"/>
    </xf>
    <xf numFmtId="0" fontId="2" fillId="3" borderId="10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10" fillId="3" borderId="10" xfId="0" applyFont="1" applyFill="1" applyBorder="1" applyAlignment="1" applyProtection="1">
      <alignment horizontal="center" vertical="center"/>
      <protection locked="0"/>
    </xf>
    <xf numFmtId="0" fontId="12" fillId="3" borderId="3" xfId="0" applyFont="1" applyFill="1" applyBorder="1" applyAlignment="1" applyProtection="1">
      <alignment horizontal="center" vertical="top"/>
      <protection locked="0"/>
    </xf>
    <xf numFmtId="0" fontId="16" fillId="5" borderId="18" xfId="0" applyFont="1" applyFill="1" applyBorder="1" applyAlignment="1">
      <alignment horizontal="center" vertical="center"/>
    </xf>
    <xf numFmtId="0" fontId="14" fillId="3" borderId="11" xfId="0" quotePrefix="1" applyFont="1" applyFill="1" applyBorder="1" applyAlignment="1">
      <alignment vertical="center"/>
    </xf>
    <xf numFmtId="0" fontId="10" fillId="3" borderId="0" xfId="0" quotePrefix="1" applyFont="1" applyFill="1" applyAlignment="1">
      <alignment horizontal="left"/>
    </xf>
    <xf numFmtId="0" fontId="10" fillId="3" borderId="6" xfId="0" quotePrefix="1" applyFont="1" applyFill="1" applyBorder="1" applyAlignment="1">
      <alignment horizontal="left"/>
    </xf>
    <xf numFmtId="0" fontId="10" fillId="3" borderId="5" xfId="0" quotePrefix="1" applyFont="1" applyFill="1" applyBorder="1" applyAlignment="1">
      <alignment horizontal="left"/>
    </xf>
    <xf numFmtId="0" fontId="18" fillId="2" borderId="15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 wrapText="1"/>
    </xf>
    <xf numFmtId="0" fontId="18" fillId="4" borderId="16" xfId="0" applyFont="1" applyFill="1" applyBorder="1" applyAlignment="1">
      <alignment horizontal="center" vertical="center" wrapText="1"/>
    </xf>
    <xf numFmtId="0" fontId="19" fillId="4" borderId="16" xfId="0" applyFont="1" applyFill="1" applyBorder="1" applyAlignment="1">
      <alignment horizontal="center" vertical="center" wrapText="1"/>
    </xf>
    <xf numFmtId="0" fontId="16" fillId="5" borderId="12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center" vertical="center" wrapText="1"/>
    </xf>
    <xf numFmtId="0" fontId="20" fillId="4" borderId="16" xfId="0" applyFon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center" vertical="center" wrapText="1"/>
    </xf>
    <xf numFmtId="0" fontId="21" fillId="2" borderId="16" xfId="0" quotePrefix="1" applyFont="1" applyFill="1" applyBorder="1" applyAlignment="1">
      <alignment horizontal="center" vertical="center" wrapText="1"/>
    </xf>
    <xf numFmtId="0" fontId="17" fillId="2" borderId="16" xfId="0" applyFont="1" applyFill="1" applyBorder="1" applyAlignment="1">
      <alignment horizontal="center" vertical="center" wrapText="1"/>
    </xf>
    <xf numFmtId="0" fontId="21" fillId="4" borderId="16" xfId="0" quotePrefix="1" applyFont="1" applyFill="1" applyBorder="1" applyAlignment="1">
      <alignment horizontal="center" vertical="center" wrapText="1"/>
    </xf>
    <xf numFmtId="0" fontId="10" fillId="5" borderId="15" xfId="0" applyFont="1" applyFill="1" applyBorder="1" applyAlignment="1">
      <alignment horizontal="center" vertical="center" wrapText="1"/>
    </xf>
    <xf numFmtId="0" fontId="23" fillId="2" borderId="15" xfId="0" applyFont="1" applyFill="1" applyBorder="1" applyAlignment="1">
      <alignment horizontal="center" vertical="center" wrapText="1"/>
    </xf>
    <xf numFmtId="0" fontId="22" fillId="2" borderId="15" xfId="0" applyFont="1" applyFill="1" applyBorder="1" applyAlignment="1">
      <alignment horizontal="center" vertical="center" wrapText="1"/>
    </xf>
    <xf numFmtId="0" fontId="17" fillId="2" borderId="19" xfId="0" applyFont="1" applyFill="1" applyBorder="1" applyAlignment="1">
      <alignment horizontal="center" vertical="center" wrapText="1"/>
    </xf>
    <xf numFmtId="0" fontId="16" fillId="3" borderId="17" xfId="0" applyFont="1" applyFill="1" applyBorder="1" applyAlignment="1">
      <alignment vertical="center" wrapText="1"/>
    </xf>
    <xf numFmtId="0" fontId="18" fillId="2" borderId="19" xfId="0" applyFont="1" applyFill="1" applyBorder="1" applyAlignment="1">
      <alignment horizontal="center" vertical="center" wrapText="1"/>
    </xf>
    <xf numFmtId="0" fontId="21" fillId="2" borderId="19" xfId="0" quotePrefix="1" applyFont="1" applyFill="1" applyBorder="1" applyAlignment="1">
      <alignment horizontal="center" vertical="center" wrapText="1"/>
    </xf>
    <xf numFmtId="0" fontId="16" fillId="3" borderId="8" xfId="0" applyFont="1" applyFill="1" applyBorder="1" applyAlignment="1">
      <alignment vertical="center" wrapText="1"/>
    </xf>
    <xf numFmtId="0" fontId="19" fillId="2" borderId="16" xfId="0" applyFont="1" applyFill="1" applyBorder="1" applyAlignment="1">
      <alignment horizontal="center" vertical="center" wrapText="1"/>
    </xf>
    <xf numFmtId="0" fontId="20" fillId="2" borderId="16" xfId="0" applyFont="1" applyFill="1" applyBorder="1" applyAlignment="1">
      <alignment horizontal="center" vertical="center" wrapText="1"/>
    </xf>
    <xf numFmtId="0" fontId="17" fillId="4" borderId="15" xfId="0" applyFont="1" applyFill="1" applyBorder="1" applyAlignment="1">
      <alignment horizontal="center" vertical="center" wrapText="1"/>
    </xf>
    <xf numFmtId="0" fontId="18" fillId="4" borderId="15" xfId="0" applyFont="1" applyFill="1" applyBorder="1" applyAlignment="1">
      <alignment horizontal="center" vertical="center" wrapText="1"/>
    </xf>
    <xf numFmtId="0" fontId="19" fillId="4" borderId="15" xfId="0" applyFont="1" applyFill="1" applyBorder="1" applyAlignment="1">
      <alignment horizontal="center" vertical="center" wrapText="1"/>
    </xf>
    <xf numFmtId="0" fontId="20" fillId="4" borderId="1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47625</xdr:colOff>
      <xdr:row>2</xdr:row>
      <xdr:rowOff>19942</xdr:rowOff>
    </xdr:from>
    <xdr:to>
      <xdr:col>11</xdr:col>
      <xdr:colOff>1905000</xdr:colOff>
      <xdr:row>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059650" y="629542"/>
          <a:ext cx="1857375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85"/>
  <sheetViews>
    <sheetView tabSelected="1" topLeftCell="A22" workbookViewId="0">
      <selection activeCell="L39" sqref="L39"/>
    </sheetView>
  </sheetViews>
  <sheetFormatPr defaultRowHeight="15" x14ac:dyDescent="0.25"/>
  <cols>
    <col min="2" max="2" width="3.140625" style="25" customWidth="1"/>
    <col min="3" max="3" width="18.7109375" style="25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17.85546875" bestFit="1" customWidth="1"/>
    <col min="10" max="10" width="8.7109375" bestFit="1" customWidth="1"/>
    <col min="11" max="11" width="18.28515625" bestFit="1" customWidth="1"/>
    <col min="12" max="12" width="29.42578125" customWidth="1"/>
  </cols>
  <sheetData>
    <row r="1" spans="1:12" ht="15.75" thickBot="1" x14ac:dyDescent="0.3">
      <c r="A1" s="1"/>
      <c r="B1" s="19"/>
      <c r="C1" s="19"/>
      <c r="D1" s="2"/>
      <c r="E1" s="2"/>
      <c r="F1" s="2"/>
      <c r="G1" s="2"/>
      <c r="H1" s="2"/>
      <c r="I1" s="75"/>
      <c r="J1" s="75"/>
      <c r="K1" s="75"/>
      <c r="L1" s="75"/>
    </row>
    <row r="2" spans="1:12" ht="32.25" thickBot="1" x14ac:dyDescent="0.3">
      <c r="A2" s="1"/>
      <c r="B2" s="20"/>
      <c r="C2" s="38"/>
      <c r="D2" s="10" t="s">
        <v>0</v>
      </c>
      <c r="E2" s="10"/>
      <c r="F2" s="46" t="s">
        <v>346</v>
      </c>
      <c r="G2" s="11"/>
      <c r="H2" s="3"/>
      <c r="I2" s="3"/>
      <c r="J2" s="3"/>
      <c r="K2" s="3"/>
      <c r="L2" s="37"/>
    </row>
    <row r="3" spans="1:12" x14ac:dyDescent="0.25">
      <c r="A3" s="1"/>
      <c r="B3" s="21"/>
      <c r="C3" s="39"/>
      <c r="D3" s="12" t="s">
        <v>1</v>
      </c>
      <c r="E3" s="12"/>
      <c r="F3" s="47" t="s">
        <v>347</v>
      </c>
      <c r="G3" s="12"/>
      <c r="H3" s="4"/>
      <c r="I3" s="4"/>
      <c r="J3" s="4"/>
      <c r="K3" s="4"/>
      <c r="L3" s="76"/>
    </row>
    <row r="4" spans="1:12" x14ac:dyDescent="0.25">
      <c r="A4" s="1"/>
      <c r="B4" s="21"/>
      <c r="C4" s="39"/>
      <c r="D4" s="12" t="s">
        <v>2</v>
      </c>
      <c r="E4" s="12"/>
      <c r="F4" s="48" t="s">
        <v>347</v>
      </c>
      <c r="G4" s="13"/>
      <c r="H4" s="6"/>
      <c r="I4" s="6"/>
      <c r="J4" s="6"/>
      <c r="K4" s="6"/>
      <c r="L4" s="77"/>
    </row>
    <row r="5" spans="1:12" x14ac:dyDescent="0.25">
      <c r="A5" s="1"/>
      <c r="B5" s="21"/>
      <c r="C5" s="39"/>
      <c r="D5" s="12" t="s">
        <v>3</v>
      </c>
      <c r="E5" s="12"/>
      <c r="F5" s="49" t="s">
        <v>5</v>
      </c>
      <c r="G5" s="14"/>
      <c r="H5" s="5"/>
      <c r="I5" s="5"/>
      <c r="J5" s="5"/>
      <c r="K5" s="5"/>
      <c r="L5" s="77"/>
    </row>
    <row r="6" spans="1:12" x14ac:dyDescent="0.25">
      <c r="A6" s="1"/>
      <c r="B6" s="22"/>
      <c r="C6" s="40"/>
      <c r="D6" s="15"/>
      <c r="E6" s="15"/>
      <c r="F6" s="16"/>
      <c r="G6" s="14"/>
      <c r="H6" s="5"/>
      <c r="I6" s="5"/>
      <c r="J6" s="5"/>
      <c r="K6" s="5"/>
      <c r="L6" s="77"/>
    </row>
    <row r="7" spans="1:12" x14ac:dyDescent="0.25">
      <c r="A7" s="1"/>
      <c r="B7" s="23"/>
      <c r="C7" s="41"/>
      <c r="D7" s="17"/>
      <c r="E7" s="17"/>
      <c r="F7" s="18"/>
      <c r="G7" s="17"/>
      <c r="H7" s="7"/>
      <c r="I7" s="7"/>
      <c r="J7" s="7"/>
      <c r="K7" s="7"/>
      <c r="L7" s="77"/>
    </row>
    <row r="8" spans="1:12" ht="15.75" thickBot="1" x14ac:dyDescent="0.3">
      <c r="A8" s="1"/>
      <c r="B8" s="26"/>
      <c r="C8" s="42"/>
      <c r="D8" s="27"/>
      <c r="E8" s="27"/>
      <c r="F8" s="28"/>
      <c r="G8" s="17"/>
      <c r="H8" s="7"/>
      <c r="I8" s="7"/>
      <c r="J8" s="7"/>
      <c r="K8" s="7"/>
      <c r="L8" s="77"/>
    </row>
    <row r="9" spans="1:12" ht="15.75" thickBot="1" x14ac:dyDescent="0.3">
      <c r="A9" s="1"/>
      <c r="B9" s="29" t="s">
        <v>4</v>
      </c>
      <c r="C9" s="29" t="s">
        <v>6</v>
      </c>
      <c r="D9" s="30" t="s">
        <v>25</v>
      </c>
      <c r="E9" s="29" t="s">
        <v>95</v>
      </c>
      <c r="F9" s="30" t="s">
        <v>165</v>
      </c>
      <c r="G9" s="29" t="s">
        <v>207</v>
      </c>
      <c r="H9" s="30" t="s">
        <v>264</v>
      </c>
      <c r="I9" s="45" t="s">
        <v>342</v>
      </c>
      <c r="J9" s="29" t="s">
        <v>331</v>
      </c>
      <c r="K9" s="54" t="s">
        <v>344</v>
      </c>
      <c r="L9" s="29" t="s">
        <v>345</v>
      </c>
    </row>
    <row r="10" spans="1:12" x14ac:dyDescent="0.25">
      <c r="A10" s="1"/>
      <c r="B10" s="61">
        <f>ROW(B10) - ROW($B$9)</f>
        <v>1</v>
      </c>
      <c r="C10" s="72" t="s">
        <v>7</v>
      </c>
      <c r="D10" s="73" t="s">
        <v>26</v>
      </c>
      <c r="E10" s="71" t="s">
        <v>96</v>
      </c>
      <c r="F10" s="71" t="s">
        <v>166</v>
      </c>
      <c r="G10" s="71" t="s">
        <v>208</v>
      </c>
      <c r="H10" s="71" t="s">
        <v>265</v>
      </c>
      <c r="I10" s="71" t="s">
        <v>300</v>
      </c>
      <c r="J10" s="71">
        <v>1</v>
      </c>
      <c r="K10" s="71">
        <f>J10*5</f>
        <v>5</v>
      </c>
      <c r="L10" s="71"/>
    </row>
    <row r="11" spans="1:12" ht="36" x14ac:dyDescent="0.25">
      <c r="A11" s="1"/>
      <c r="B11" s="61">
        <f t="shared" ref="B11:B74" si="0">ROW(B11) - ROW($B$9)</f>
        <v>2</v>
      </c>
      <c r="C11" s="57" t="s">
        <v>7</v>
      </c>
      <c r="D11" s="69" t="s">
        <v>27</v>
      </c>
      <c r="E11" s="59" t="s">
        <v>97</v>
      </c>
      <c r="F11" s="59" t="s">
        <v>166</v>
      </c>
      <c r="G11" s="69" t="s">
        <v>339</v>
      </c>
      <c r="H11" s="59" t="s">
        <v>265</v>
      </c>
      <c r="I11" s="59" t="s">
        <v>301</v>
      </c>
      <c r="J11" s="59">
        <v>28</v>
      </c>
      <c r="K11" s="59">
        <f t="shared" ref="K11" si="1">J11*5</f>
        <v>140</v>
      </c>
      <c r="L11" s="59"/>
    </row>
    <row r="12" spans="1:12" x14ac:dyDescent="0.25">
      <c r="A12" s="1"/>
      <c r="B12" s="61">
        <f t="shared" si="0"/>
        <v>3</v>
      </c>
      <c r="C12" s="72" t="s">
        <v>7</v>
      </c>
      <c r="D12" s="73" t="s">
        <v>28</v>
      </c>
      <c r="E12" s="73" t="s">
        <v>332</v>
      </c>
      <c r="F12" s="73" t="s">
        <v>167</v>
      </c>
      <c r="G12" s="73" t="s">
        <v>209</v>
      </c>
      <c r="H12" s="73" t="s">
        <v>340</v>
      </c>
      <c r="I12" s="73" t="s">
        <v>302</v>
      </c>
      <c r="J12" s="73">
        <v>2</v>
      </c>
      <c r="K12" s="73">
        <f>J12*5</f>
        <v>10</v>
      </c>
      <c r="L12" s="74"/>
    </row>
    <row r="13" spans="1:12" x14ac:dyDescent="0.25">
      <c r="A13" s="1"/>
      <c r="B13" s="61">
        <f t="shared" si="0"/>
        <v>4</v>
      </c>
      <c r="C13" s="57" t="s">
        <v>7</v>
      </c>
      <c r="D13" s="69" t="s">
        <v>357</v>
      </c>
      <c r="E13" s="59" t="s">
        <v>98</v>
      </c>
      <c r="F13" s="59" t="s">
        <v>333</v>
      </c>
      <c r="G13" s="59" t="s">
        <v>168</v>
      </c>
      <c r="H13" s="59" t="s">
        <v>266</v>
      </c>
      <c r="I13" s="59" t="s">
        <v>303</v>
      </c>
      <c r="J13" s="59">
        <v>3</v>
      </c>
      <c r="K13" s="59">
        <f t="shared" ref="K13:K14" si="2">J13*5</f>
        <v>15</v>
      </c>
      <c r="L13" s="70"/>
    </row>
    <row r="14" spans="1:12" x14ac:dyDescent="0.25">
      <c r="A14" s="1"/>
      <c r="B14" s="61">
        <f t="shared" si="0"/>
        <v>5</v>
      </c>
      <c r="C14" s="72" t="s">
        <v>7</v>
      </c>
      <c r="D14" s="73" t="s">
        <v>29</v>
      </c>
      <c r="E14" s="73" t="s">
        <v>99</v>
      </c>
      <c r="F14" s="73" t="s">
        <v>169</v>
      </c>
      <c r="G14" s="73" t="s">
        <v>210</v>
      </c>
      <c r="H14" s="73" t="s">
        <v>266</v>
      </c>
      <c r="I14" s="73" t="s">
        <v>304</v>
      </c>
      <c r="J14" s="73">
        <v>1</v>
      </c>
      <c r="K14" s="73">
        <f t="shared" si="2"/>
        <v>5</v>
      </c>
      <c r="L14" s="74"/>
    </row>
    <row r="15" spans="1:12" ht="24" x14ac:dyDescent="0.25">
      <c r="A15" s="1"/>
      <c r="B15" s="61">
        <f t="shared" si="0"/>
        <v>6</v>
      </c>
      <c r="C15" s="57" t="s">
        <v>7</v>
      </c>
      <c r="D15" s="69" t="s">
        <v>30</v>
      </c>
      <c r="E15" s="59" t="s">
        <v>100</v>
      </c>
      <c r="F15" s="59" t="s">
        <v>166</v>
      </c>
      <c r="G15" s="59" t="s">
        <v>211</v>
      </c>
      <c r="H15" s="59" t="s">
        <v>265</v>
      </c>
      <c r="I15" s="59" t="s">
        <v>305</v>
      </c>
      <c r="J15" s="59">
        <v>12</v>
      </c>
      <c r="K15" s="59">
        <f>J15*5</f>
        <v>60</v>
      </c>
      <c r="L15" s="59"/>
    </row>
    <row r="16" spans="1:12" x14ac:dyDescent="0.25">
      <c r="A16" s="1"/>
      <c r="B16" s="61">
        <f t="shared" si="0"/>
        <v>7</v>
      </c>
      <c r="C16" s="72" t="s">
        <v>7</v>
      </c>
      <c r="D16" s="73" t="s">
        <v>31</v>
      </c>
      <c r="E16" s="73" t="s">
        <v>101</v>
      </c>
      <c r="F16" s="73" t="s">
        <v>166</v>
      </c>
      <c r="G16" s="73" t="s">
        <v>212</v>
      </c>
      <c r="H16" s="73" t="s">
        <v>265</v>
      </c>
      <c r="I16" s="73" t="s">
        <v>306</v>
      </c>
      <c r="J16" s="73">
        <v>1</v>
      </c>
      <c r="K16" s="73">
        <f t="shared" ref="K16" si="3">J16*5</f>
        <v>5</v>
      </c>
      <c r="L16" s="74"/>
    </row>
    <row r="17" spans="1:12" x14ac:dyDescent="0.25">
      <c r="A17" s="1"/>
      <c r="B17" s="61">
        <f t="shared" si="0"/>
        <v>8</v>
      </c>
      <c r="C17" s="57" t="s">
        <v>7</v>
      </c>
      <c r="D17" s="69" t="s">
        <v>32</v>
      </c>
      <c r="E17" s="59" t="s">
        <v>102</v>
      </c>
      <c r="F17" s="59" t="s">
        <v>170</v>
      </c>
      <c r="G17" s="69" t="s">
        <v>362</v>
      </c>
      <c r="H17" s="59" t="s">
        <v>267</v>
      </c>
      <c r="I17" s="59" t="s">
        <v>307</v>
      </c>
      <c r="J17" s="59">
        <v>1</v>
      </c>
      <c r="K17" s="59">
        <f>J17*5</f>
        <v>5</v>
      </c>
      <c r="L17" s="59"/>
    </row>
    <row r="18" spans="1:12" x14ac:dyDescent="0.25">
      <c r="A18" s="1"/>
      <c r="B18" s="61">
        <f t="shared" si="0"/>
        <v>9</v>
      </c>
      <c r="C18" s="72" t="s">
        <v>7</v>
      </c>
      <c r="D18" s="73" t="s">
        <v>33</v>
      </c>
      <c r="E18" s="73" t="s">
        <v>103</v>
      </c>
      <c r="F18" s="73" t="s">
        <v>166</v>
      </c>
      <c r="G18" s="73" t="s">
        <v>213</v>
      </c>
      <c r="H18" s="73" t="s">
        <v>265</v>
      </c>
      <c r="I18" s="73" t="s">
        <v>308</v>
      </c>
      <c r="J18" s="73">
        <v>2</v>
      </c>
      <c r="K18" s="73">
        <f t="shared" ref="K18" si="4">J18*5</f>
        <v>10</v>
      </c>
      <c r="L18" s="74"/>
    </row>
    <row r="19" spans="1:12" x14ac:dyDescent="0.25">
      <c r="A19" s="1"/>
      <c r="B19" s="61">
        <f t="shared" si="0"/>
        <v>10</v>
      </c>
      <c r="C19" s="57" t="s">
        <v>7</v>
      </c>
      <c r="D19" s="69" t="s">
        <v>34</v>
      </c>
      <c r="E19" s="59" t="s">
        <v>104</v>
      </c>
      <c r="F19" s="59" t="s">
        <v>166</v>
      </c>
      <c r="G19" s="59" t="s">
        <v>214</v>
      </c>
      <c r="H19" s="59" t="s">
        <v>265</v>
      </c>
      <c r="I19" s="59" t="s">
        <v>309</v>
      </c>
      <c r="J19" s="59">
        <v>2</v>
      </c>
      <c r="K19" s="59">
        <f>J19*5</f>
        <v>10</v>
      </c>
      <c r="L19" s="59"/>
    </row>
    <row r="20" spans="1:12" x14ac:dyDescent="0.25">
      <c r="A20" s="1"/>
      <c r="B20" s="61">
        <f t="shared" si="0"/>
        <v>11</v>
      </c>
      <c r="C20" s="52" t="s">
        <v>7</v>
      </c>
      <c r="D20" s="71" t="s">
        <v>358</v>
      </c>
      <c r="E20" s="71" t="s">
        <v>359</v>
      </c>
      <c r="F20" s="71" t="s">
        <v>333</v>
      </c>
      <c r="G20" s="71" t="s">
        <v>360</v>
      </c>
      <c r="H20" s="71" t="s">
        <v>266</v>
      </c>
      <c r="I20" s="71" t="s">
        <v>361</v>
      </c>
      <c r="J20" s="71">
        <v>1</v>
      </c>
      <c r="K20" s="71">
        <f>J20*5</f>
        <v>5</v>
      </c>
      <c r="L20" s="71"/>
    </row>
    <row r="21" spans="1:12" x14ac:dyDescent="0.25">
      <c r="A21" s="1"/>
      <c r="B21" s="61">
        <f t="shared" si="0"/>
        <v>12</v>
      </c>
      <c r="C21" s="50" t="s">
        <v>8</v>
      </c>
      <c r="D21" s="51" t="s">
        <v>35</v>
      </c>
      <c r="E21" s="51" t="s">
        <v>105</v>
      </c>
      <c r="F21" s="51" t="s">
        <v>171</v>
      </c>
      <c r="G21" s="51" t="s">
        <v>215</v>
      </c>
      <c r="H21" s="51" t="s">
        <v>268</v>
      </c>
      <c r="I21" s="51" t="s">
        <v>336</v>
      </c>
      <c r="J21" s="51">
        <v>7</v>
      </c>
      <c r="K21" s="51">
        <f t="shared" ref="K21" si="5">J21*5</f>
        <v>35</v>
      </c>
      <c r="L21" s="55"/>
    </row>
    <row r="22" spans="1:12" ht="24" x14ac:dyDescent="0.25">
      <c r="A22" s="1"/>
      <c r="B22" s="61">
        <f t="shared" si="0"/>
        <v>13</v>
      </c>
      <c r="C22" s="52" t="s">
        <v>8</v>
      </c>
      <c r="D22" s="53" t="s">
        <v>36</v>
      </c>
      <c r="E22" s="36" t="s">
        <v>106</v>
      </c>
      <c r="F22" s="36" t="s">
        <v>172</v>
      </c>
      <c r="G22" s="36" t="s">
        <v>216</v>
      </c>
      <c r="H22" s="36" t="s">
        <v>269</v>
      </c>
      <c r="I22" s="36" t="s">
        <v>336</v>
      </c>
      <c r="J22" s="36">
        <v>2</v>
      </c>
      <c r="K22" s="36">
        <f>J22*5</f>
        <v>10</v>
      </c>
      <c r="L22" s="36"/>
    </row>
    <row r="23" spans="1:12" ht="36" x14ac:dyDescent="0.25">
      <c r="A23" s="1"/>
      <c r="B23" s="61">
        <f t="shared" si="0"/>
        <v>14</v>
      </c>
      <c r="C23" s="50" t="s">
        <v>8</v>
      </c>
      <c r="D23" s="51" t="s">
        <v>37</v>
      </c>
      <c r="E23" s="51" t="s">
        <v>107</v>
      </c>
      <c r="F23" s="51" t="s">
        <v>173</v>
      </c>
      <c r="G23" s="51" t="s">
        <v>217</v>
      </c>
      <c r="H23" s="51" t="s">
        <v>270</v>
      </c>
      <c r="I23" s="51" t="s">
        <v>336</v>
      </c>
      <c r="J23" s="51">
        <v>1</v>
      </c>
      <c r="K23" s="51">
        <f t="shared" ref="K23" si="6">J23*5</f>
        <v>5</v>
      </c>
      <c r="L23" s="55"/>
    </row>
    <row r="24" spans="1:12" ht="24" x14ac:dyDescent="0.25">
      <c r="A24" s="1"/>
      <c r="B24" s="61">
        <f t="shared" si="0"/>
        <v>15</v>
      </c>
      <c r="C24" s="52" t="s">
        <v>8</v>
      </c>
      <c r="D24" s="53" t="s">
        <v>38</v>
      </c>
      <c r="E24" s="36" t="s">
        <v>108</v>
      </c>
      <c r="F24" s="36" t="s">
        <v>334</v>
      </c>
      <c r="G24" s="36" t="s">
        <v>218</v>
      </c>
      <c r="H24" s="36" t="s">
        <v>341</v>
      </c>
      <c r="I24" s="36" t="s">
        <v>336</v>
      </c>
      <c r="J24" s="36">
        <v>1</v>
      </c>
      <c r="K24" s="36">
        <f>J24*5</f>
        <v>5</v>
      </c>
      <c r="L24" s="36"/>
    </row>
    <row r="25" spans="1:12" x14ac:dyDescent="0.25">
      <c r="A25" s="1"/>
      <c r="B25" s="61">
        <f t="shared" si="0"/>
        <v>16</v>
      </c>
      <c r="C25" s="50" t="s">
        <v>8</v>
      </c>
      <c r="D25" s="51" t="s">
        <v>39</v>
      </c>
      <c r="E25" s="51" t="s">
        <v>109</v>
      </c>
      <c r="F25" s="51" t="s">
        <v>174</v>
      </c>
      <c r="G25" s="51" t="s">
        <v>219</v>
      </c>
      <c r="H25" s="51" t="s">
        <v>271</v>
      </c>
      <c r="I25" s="51" t="s">
        <v>336</v>
      </c>
      <c r="J25" s="51">
        <v>8</v>
      </c>
      <c r="K25" s="51">
        <f t="shared" ref="K25" si="7">J25*5</f>
        <v>40</v>
      </c>
      <c r="L25" s="55"/>
    </row>
    <row r="26" spans="1:12" x14ac:dyDescent="0.25">
      <c r="A26" s="1"/>
      <c r="B26" s="61">
        <f t="shared" si="0"/>
        <v>17</v>
      </c>
      <c r="C26" s="52" t="s">
        <v>8</v>
      </c>
      <c r="D26" s="53" t="s">
        <v>40</v>
      </c>
      <c r="E26" s="36" t="s">
        <v>110</v>
      </c>
      <c r="F26" s="36" t="s">
        <v>175</v>
      </c>
      <c r="G26" s="36" t="s">
        <v>220</v>
      </c>
      <c r="H26" s="36" t="s">
        <v>272</v>
      </c>
      <c r="I26" s="36" t="s">
        <v>336</v>
      </c>
      <c r="J26" s="36">
        <v>1</v>
      </c>
      <c r="K26" s="36">
        <f>J26*5</f>
        <v>5</v>
      </c>
      <c r="L26" s="36"/>
    </row>
    <row r="27" spans="1:12" ht="24" x14ac:dyDescent="0.25">
      <c r="A27" s="1"/>
      <c r="B27" s="61">
        <f t="shared" si="0"/>
        <v>18</v>
      </c>
      <c r="C27" s="50" t="s">
        <v>8</v>
      </c>
      <c r="D27" s="51" t="s">
        <v>41</v>
      </c>
      <c r="E27" s="51" t="s">
        <v>111</v>
      </c>
      <c r="F27" s="51" t="s">
        <v>176</v>
      </c>
      <c r="G27" s="51" t="s">
        <v>221</v>
      </c>
      <c r="H27" s="51" t="s">
        <v>273</v>
      </c>
      <c r="I27" s="51" t="s">
        <v>336</v>
      </c>
      <c r="J27" s="51">
        <v>3</v>
      </c>
      <c r="K27" s="51">
        <f t="shared" ref="K27" si="8">J27*5</f>
        <v>15</v>
      </c>
      <c r="L27" s="55"/>
    </row>
    <row r="28" spans="1:12" x14ac:dyDescent="0.25">
      <c r="A28" s="1"/>
      <c r="B28" s="61">
        <f t="shared" si="0"/>
        <v>19</v>
      </c>
      <c r="C28" s="52" t="s">
        <v>9</v>
      </c>
      <c r="D28" s="53" t="s">
        <v>42</v>
      </c>
      <c r="E28" s="36" t="s">
        <v>112</v>
      </c>
      <c r="F28" s="36" t="s">
        <v>177</v>
      </c>
      <c r="G28" s="36" t="s">
        <v>222</v>
      </c>
      <c r="H28" s="36" t="s">
        <v>274</v>
      </c>
      <c r="I28" s="36" t="s">
        <v>336</v>
      </c>
      <c r="J28" s="36">
        <v>1</v>
      </c>
      <c r="K28" s="36">
        <f>J28*5</f>
        <v>5</v>
      </c>
      <c r="L28" s="36"/>
    </row>
    <row r="29" spans="1:12" ht="24" x14ac:dyDescent="0.25">
      <c r="A29" s="1"/>
      <c r="B29" s="61">
        <f t="shared" si="0"/>
        <v>20</v>
      </c>
      <c r="C29" s="50" t="s">
        <v>8</v>
      </c>
      <c r="D29" s="51" t="s">
        <v>43</v>
      </c>
      <c r="E29" s="51" t="s">
        <v>113</v>
      </c>
      <c r="F29" s="51" t="s">
        <v>176</v>
      </c>
      <c r="G29" s="51" t="s">
        <v>223</v>
      </c>
      <c r="H29" s="51" t="s">
        <v>269</v>
      </c>
      <c r="I29" s="51" t="s">
        <v>336</v>
      </c>
      <c r="J29" s="51">
        <v>5</v>
      </c>
      <c r="K29" s="51">
        <f t="shared" ref="K29" si="9">J29*5</f>
        <v>25</v>
      </c>
      <c r="L29" s="55"/>
    </row>
    <row r="30" spans="1:12" x14ac:dyDescent="0.25">
      <c r="A30" s="1"/>
      <c r="B30" s="61">
        <f t="shared" si="0"/>
        <v>21</v>
      </c>
      <c r="C30" s="52" t="s">
        <v>10</v>
      </c>
      <c r="D30" s="53" t="s">
        <v>44</v>
      </c>
      <c r="E30" s="36" t="s">
        <v>114</v>
      </c>
      <c r="F30" s="36" t="s">
        <v>178</v>
      </c>
      <c r="G30" s="36" t="s">
        <v>224</v>
      </c>
      <c r="H30" s="36" t="s">
        <v>275</v>
      </c>
      <c r="I30" s="36" t="s">
        <v>336</v>
      </c>
      <c r="J30" s="36">
        <v>1</v>
      </c>
      <c r="K30" s="36">
        <f>J30*5</f>
        <v>5</v>
      </c>
      <c r="L30" s="36"/>
    </row>
    <row r="31" spans="1:12" ht="24" x14ac:dyDescent="0.25">
      <c r="A31" s="1"/>
      <c r="B31" s="61">
        <f t="shared" si="0"/>
        <v>22</v>
      </c>
      <c r="C31" s="50" t="s">
        <v>10</v>
      </c>
      <c r="D31" s="51" t="s">
        <v>45</v>
      </c>
      <c r="E31" s="51" t="s">
        <v>115</v>
      </c>
      <c r="F31" s="51" t="s">
        <v>179</v>
      </c>
      <c r="G31" s="51" t="s">
        <v>225</v>
      </c>
      <c r="H31" s="51" t="s">
        <v>276</v>
      </c>
      <c r="I31" s="51" t="s">
        <v>336</v>
      </c>
      <c r="J31" s="51">
        <v>2</v>
      </c>
      <c r="K31" s="51">
        <f t="shared" ref="K31" si="10">J31*5</f>
        <v>10</v>
      </c>
      <c r="L31" s="55"/>
    </row>
    <row r="32" spans="1:12" x14ac:dyDescent="0.25">
      <c r="A32" s="1"/>
      <c r="B32" s="61">
        <f t="shared" si="0"/>
        <v>23</v>
      </c>
      <c r="C32" s="52" t="s">
        <v>11</v>
      </c>
      <c r="D32" s="53" t="s">
        <v>46</v>
      </c>
      <c r="E32" s="36" t="s">
        <v>116</v>
      </c>
      <c r="F32" s="36" t="s">
        <v>180</v>
      </c>
      <c r="G32" s="36" t="s">
        <v>226</v>
      </c>
      <c r="H32" s="36" t="s">
        <v>267</v>
      </c>
      <c r="I32" s="36" t="s">
        <v>310</v>
      </c>
      <c r="J32" s="36">
        <v>1</v>
      </c>
      <c r="K32" s="36">
        <f>J32*5</f>
        <v>5</v>
      </c>
      <c r="L32" s="36"/>
    </row>
    <row r="33" spans="1:12" x14ac:dyDescent="0.25">
      <c r="A33" s="1"/>
      <c r="B33" s="61">
        <f t="shared" si="0"/>
        <v>24</v>
      </c>
      <c r="C33" s="50" t="s">
        <v>11</v>
      </c>
      <c r="D33" s="51" t="s">
        <v>47</v>
      </c>
      <c r="E33" s="51" t="s">
        <v>117</v>
      </c>
      <c r="F33" s="51" t="s">
        <v>181</v>
      </c>
      <c r="G33" s="51" t="s">
        <v>227</v>
      </c>
      <c r="H33" s="51" t="s">
        <v>277</v>
      </c>
      <c r="I33" s="51" t="s">
        <v>336</v>
      </c>
      <c r="J33" s="51">
        <v>8</v>
      </c>
      <c r="K33" s="51">
        <f t="shared" ref="K33" si="11">J33*5</f>
        <v>40</v>
      </c>
      <c r="L33" s="55"/>
    </row>
    <row r="34" spans="1:12" x14ac:dyDescent="0.25">
      <c r="A34" s="1"/>
      <c r="B34" s="61">
        <f t="shared" si="0"/>
        <v>25</v>
      </c>
      <c r="C34" s="52" t="s">
        <v>12</v>
      </c>
      <c r="D34" s="53" t="s">
        <v>48</v>
      </c>
      <c r="E34" s="36" t="s">
        <v>118</v>
      </c>
      <c r="F34" s="36" t="s">
        <v>333</v>
      </c>
      <c r="G34" s="36" t="s">
        <v>228</v>
      </c>
      <c r="H34" s="36" t="s">
        <v>278</v>
      </c>
      <c r="I34" s="36" t="s">
        <v>336</v>
      </c>
      <c r="J34" s="36">
        <v>2</v>
      </c>
      <c r="K34" s="36">
        <f>J34*5</f>
        <v>10</v>
      </c>
      <c r="L34" s="36"/>
    </row>
    <row r="35" spans="1:12" x14ac:dyDescent="0.25">
      <c r="A35" s="1"/>
      <c r="B35" s="61">
        <f t="shared" si="0"/>
        <v>26</v>
      </c>
      <c r="C35" s="50" t="s">
        <v>12</v>
      </c>
      <c r="D35" s="51" t="s">
        <v>49</v>
      </c>
      <c r="E35" s="51" t="s">
        <v>119</v>
      </c>
      <c r="F35" s="51">
        <v>1051330011</v>
      </c>
      <c r="G35" s="51" t="s">
        <v>229</v>
      </c>
      <c r="H35" s="51" t="s">
        <v>279</v>
      </c>
      <c r="I35" s="51" t="s">
        <v>336</v>
      </c>
      <c r="J35" s="51">
        <v>1</v>
      </c>
      <c r="K35" s="51">
        <f t="shared" ref="K35:K36" si="12">J35*5</f>
        <v>5</v>
      </c>
      <c r="L35" s="55"/>
    </row>
    <row r="36" spans="1:12" x14ac:dyDescent="0.25">
      <c r="A36" s="1"/>
      <c r="B36" s="61">
        <f t="shared" si="0"/>
        <v>27</v>
      </c>
      <c r="C36" s="52" t="s">
        <v>13</v>
      </c>
      <c r="D36" s="53" t="s">
        <v>50</v>
      </c>
      <c r="E36" s="36" t="s">
        <v>120</v>
      </c>
      <c r="F36" s="36" t="s">
        <v>333</v>
      </c>
      <c r="G36" s="36" t="s">
        <v>182</v>
      </c>
      <c r="H36" s="36" t="s">
        <v>280</v>
      </c>
      <c r="I36" s="36" t="s">
        <v>336</v>
      </c>
      <c r="J36" s="36">
        <v>6</v>
      </c>
      <c r="K36" s="36">
        <f t="shared" si="12"/>
        <v>30</v>
      </c>
      <c r="L36" s="56"/>
    </row>
    <row r="37" spans="1:12" x14ac:dyDescent="0.25">
      <c r="A37" s="1"/>
      <c r="B37" s="61">
        <f t="shared" si="0"/>
        <v>28</v>
      </c>
      <c r="C37" s="50" t="s">
        <v>335</v>
      </c>
      <c r="D37" s="51" t="s">
        <v>51</v>
      </c>
      <c r="E37" s="51" t="s">
        <v>121</v>
      </c>
      <c r="F37" s="51" t="s">
        <v>333</v>
      </c>
      <c r="G37" s="51" t="s">
        <v>230</v>
      </c>
      <c r="H37" s="51" t="s">
        <v>281</v>
      </c>
      <c r="I37" s="51" t="s">
        <v>336</v>
      </c>
      <c r="J37" s="51">
        <v>2</v>
      </c>
      <c r="K37" s="51">
        <f>J37*5</f>
        <v>10</v>
      </c>
      <c r="L37" s="55"/>
    </row>
    <row r="38" spans="1:12" ht="48" x14ac:dyDescent="0.25">
      <c r="A38" s="1"/>
      <c r="B38" s="61">
        <f t="shared" si="0"/>
        <v>29</v>
      </c>
      <c r="C38" s="52" t="s">
        <v>14</v>
      </c>
      <c r="D38" s="53" t="s">
        <v>52</v>
      </c>
      <c r="E38" s="36" t="s">
        <v>122</v>
      </c>
      <c r="F38" s="36" t="s">
        <v>333</v>
      </c>
      <c r="G38" s="36" t="s">
        <v>183</v>
      </c>
      <c r="H38" s="36" t="s">
        <v>282</v>
      </c>
      <c r="I38" s="36" t="s">
        <v>336</v>
      </c>
      <c r="J38" s="36">
        <v>1</v>
      </c>
      <c r="K38" s="36">
        <f t="shared" ref="K38" si="13">J38*5</f>
        <v>5</v>
      </c>
      <c r="L38" s="36"/>
    </row>
    <row r="39" spans="1:12" ht="48" x14ac:dyDescent="0.25">
      <c r="A39" s="1"/>
      <c r="B39" s="61">
        <f t="shared" si="0"/>
        <v>30</v>
      </c>
      <c r="C39" s="50" t="s">
        <v>15</v>
      </c>
      <c r="D39" s="51" t="s">
        <v>53</v>
      </c>
      <c r="E39" s="51" t="s">
        <v>123</v>
      </c>
      <c r="F39" s="51" t="s">
        <v>333</v>
      </c>
      <c r="G39" s="51" t="s">
        <v>184</v>
      </c>
      <c r="H39" s="51" t="s">
        <v>283</v>
      </c>
      <c r="I39" s="51" t="s">
        <v>336</v>
      </c>
      <c r="J39" s="51">
        <v>1</v>
      </c>
      <c r="K39" s="51">
        <f>J39*5</f>
        <v>5</v>
      </c>
      <c r="L39" s="55"/>
    </row>
    <row r="40" spans="1:12" ht="48" x14ac:dyDescent="0.25">
      <c r="A40" s="1"/>
      <c r="B40" s="61">
        <f t="shared" si="0"/>
        <v>31</v>
      </c>
      <c r="C40" s="52" t="s">
        <v>15</v>
      </c>
      <c r="D40" s="53" t="s">
        <v>54</v>
      </c>
      <c r="E40" s="36" t="s">
        <v>124</v>
      </c>
      <c r="F40" s="36" t="s">
        <v>333</v>
      </c>
      <c r="G40" s="36" t="s">
        <v>185</v>
      </c>
      <c r="H40" s="36" t="s">
        <v>283</v>
      </c>
      <c r="I40" s="36" t="s">
        <v>336</v>
      </c>
      <c r="J40" s="36">
        <v>1</v>
      </c>
      <c r="K40" s="36">
        <f t="shared" ref="K40" si="14">J40*5</f>
        <v>5</v>
      </c>
      <c r="L40" s="36"/>
    </row>
    <row r="41" spans="1:12" ht="24" x14ac:dyDescent="0.25">
      <c r="A41" s="1"/>
      <c r="B41" s="61">
        <f t="shared" si="0"/>
        <v>32</v>
      </c>
      <c r="C41" s="50" t="s">
        <v>16</v>
      </c>
      <c r="D41" s="51" t="s">
        <v>55</v>
      </c>
      <c r="E41" s="51" t="s">
        <v>125</v>
      </c>
      <c r="F41" s="51" t="s">
        <v>333</v>
      </c>
      <c r="G41" s="51" t="s">
        <v>186</v>
      </c>
      <c r="H41" s="51" t="s">
        <v>281</v>
      </c>
      <c r="I41" s="51" t="s">
        <v>336</v>
      </c>
      <c r="J41" s="51">
        <v>1</v>
      </c>
      <c r="K41" s="51">
        <f>J41*5</f>
        <v>5</v>
      </c>
      <c r="L41" s="55"/>
    </row>
    <row r="42" spans="1:12" ht="24" x14ac:dyDescent="0.25">
      <c r="A42" s="1"/>
      <c r="B42" s="61">
        <f t="shared" si="0"/>
        <v>33</v>
      </c>
      <c r="C42" s="52" t="s">
        <v>17</v>
      </c>
      <c r="D42" s="53" t="s">
        <v>56</v>
      </c>
      <c r="E42" s="36" t="s">
        <v>126</v>
      </c>
      <c r="F42" s="36" t="s">
        <v>333</v>
      </c>
      <c r="G42" s="36" t="s">
        <v>187</v>
      </c>
      <c r="H42" s="36" t="s">
        <v>284</v>
      </c>
      <c r="I42" s="36" t="s">
        <v>311</v>
      </c>
      <c r="J42" s="36">
        <v>1</v>
      </c>
      <c r="K42" s="36">
        <f t="shared" ref="K42" si="15">J42*5</f>
        <v>5</v>
      </c>
      <c r="L42" s="36"/>
    </row>
    <row r="43" spans="1:12" ht="36" x14ac:dyDescent="0.25">
      <c r="A43" s="1"/>
      <c r="B43" s="61">
        <f t="shared" si="0"/>
        <v>34</v>
      </c>
      <c r="C43" s="50" t="s">
        <v>17</v>
      </c>
      <c r="D43" s="51" t="s">
        <v>57</v>
      </c>
      <c r="E43" s="51" t="s">
        <v>127</v>
      </c>
      <c r="F43" s="51" t="s">
        <v>333</v>
      </c>
      <c r="G43" s="51" t="s">
        <v>188</v>
      </c>
      <c r="H43" s="51" t="s">
        <v>285</v>
      </c>
      <c r="I43" s="51" t="s">
        <v>311</v>
      </c>
      <c r="J43" s="51">
        <v>1</v>
      </c>
      <c r="K43" s="51">
        <f>J43*5</f>
        <v>5</v>
      </c>
      <c r="L43" s="55"/>
    </row>
    <row r="44" spans="1:12" ht="24" x14ac:dyDescent="0.25">
      <c r="A44" s="1"/>
      <c r="B44" s="61">
        <f t="shared" si="0"/>
        <v>35</v>
      </c>
      <c r="C44" s="52" t="s">
        <v>17</v>
      </c>
      <c r="D44" s="53" t="s">
        <v>58</v>
      </c>
      <c r="E44" s="36" t="s">
        <v>128</v>
      </c>
      <c r="F44" s="36" t="s">
        <v>189</v>
      </c>
      <c r="G44" s="36" t="s">
        <v>231</v>
      </c>
      <c r="H44" s="36" t="s">
        <v>267</v>
      </c>
      <c r="I44" s="36" t="s">
        <v>312</v>
      </c>
      <c r="J44" s="36">
        <v>1</v>
      </c>
      <c r="K44" s="36">
        <f t="shared" ref="K44:K45" si="16">J44*5</f>
        <v>5</v>
      </c>
      <c r="L44" s="36"/>
    </row>
    <row r="45" spans="1:12" ht="24" x14ac:dyDescent="0.25">
      <c r="A45" s="1"/>
      <c r="B45" s="61">
        <f t="shared" si="0"/>
        <v>36</v>
      </c>
      <c r="C45" s="50" t="s">
        <v>18</v>
      </c>
      <c r="D45" s="51" t="s">
        <v>59</v>
      </c>
      <c r="E45" s="51" t="s">
        <v>129</v>
      </c>
      <c r="F45" s="51" t="s">
        <v>190</v>
      </c>
      <c r="G45" s="51" t="s">
        <v>232</v>
      </c>
      <c r="H45" s="51" t="s">
        <v>286</v>
      </c>
      <c r="I45" s="51" t="s">
        <v>313</v>
      </c>
      <c r="J45" s="51">
        <v>3</v>
      </c>
      <c r="K45" s="51">
        <f t="shared" si="16"/>
        <v>15</v>
      </c>
      <c r="L45" s="55"/>
    </row>
    <row r="46" spans="1:12" ht="24" x14ac:dyDescent="0.25">
      <c r="A46" s="1"/>
      <c r="B46" s="61">
        <f t="shared" si="0"/>
        <v>37</v>
      </c>
      <c r="C46" s="52" t="s">
        <v>18</v>
      </c>
      <c r="D46" s="53" t="s">
        <v>60</v>
      </c>
      <c r="E46" s="36" t="s">
        <v>130</v>
      </c>
      <c r="F46" s="36" t="s">
        <v>190</v>
      </c>
      <c r="G46" s="36" t="s">
        <v>233</v>
      </c>
      <c r="H46" s="36" t="s">
        <v>286</v>
      </c>
      <c r="I46" s="36" t="s">
        <v>336</v>
      </c>
      <c r="J46" s="36">
        <v>4</v>
      </c>
      <c r="K46" s="36">
        <f>J46*5</f>
        <v>20</v>
      </c>
      <c r="L46" s="36"/>
    </row>
    <row r="47" spans="1:12" ht="24" x14ac:dyDescent="0.25">
      <c r="A47" s="1"/>
      <c r="B47" s="61">
        <f t="shared" si="0"/>
        <v>38</v>
      </c>
      <c r="C47" s="50" t="s">
        <v>19</v>
      </c>
      <c r="D47" s="51" t="s">
        <v>61</v>
      </c>
      <c r="E47" s="51" t="s">
        <v>131</v>
      </c>
      <c r="F47" s="51" t="s">
        <v>191</v>
      </c>
      <c r="G47" s="51" t="s">
        <v>234</v>
      </c>
      <c r="H47" s="51" t="s">
        <v>287</v>
      </c>
      <c r="I47" s="51" t="s">
        <v>336</v>
      </c>
      <c r="J47" s="51">
        <v>1</v>
      </c>
      <c r="K47" s="51">
        <f t="shared" ref="K47:K48" si="17">J47*5</f>
        <v>5</v>
      </c>
      <c r="L47" s="55"/>
    </row>
    <row r="48" spans="1:12" x14ac:dyDescent="0.25">
      <c r="A48" s="1"/>
      <c r="B48" s="61">
        <f t="shared" si="0"/>
        <v>39</v>
      </c>
      <c r="C48" s="52" t="s">
        <v>19</v>
      </c>
      <c r="D48" s="53" t="s">
        <v>62</v>
      </c>
      <c r="E48" s="36" t="s">
        <v>132</v>
      </c>
      <c r="F48" s="36" t="s">
        <v>336</v>
      </c>
      <c r="G48" s="36" t="s">
        <v>192</v>
      </c>
      <c r="H48" s="36" t="s">
        <v>288</v>
      </c>
      <c r="I48" s="36" t="s">
        <v>336</v>
      </c>
      <c r="J48" s="36">
        <v>1</v>
      </c>
      <c r="K48" s="36">
        <f t="shared" si="17"/>
        <v>5</v>
      </c>
      <c r="L48" s="36"/>
    </row>
    <row r="49" spans="1:12" x14ac:dyDescent="0.25">
      <c r="A49" s="1"/>
      <c r="B49" s="61">
        <f t="shared" si="0"/>
        <v>40</v>
      </c>
      <c r="C49" s="62" t="s">
        <v>314</v>
      </c>
      <c r="D49" s="63" t="s">
        <v>63</v>
      </c>
      <c r="E49" s="63" t="s">
        <v>133</v>
      </c>
      <c r="F49" s="63" t="s">
        <v>193</v>
      </c>
      <c r="G49" s="63" t="s">
        <v>336</v>
      </c>
      <c r="H49" s="63" t="s">
        <v>336</v>
      </c>
      <c r="I49" s="63" t="s">
        <v>336</v>
      </c>
      <c r="J49" s="63">
        <v>6</v>
      </c>
      <c r="K49" s="63">
        <f>J49*5</f>
        <v>30</v>
      </c>
      <c r="L49" s="63"/>
    </row>
    <row r="50" spans="1:12" ht="48" x14ac:dyDescent="0.25">
      <c r="A50" s="1"/>
      <c r="B50" s="61">
        <f t="shared" si="0"/>
        <v>41</v>
      </c>
      <c r="C50" s="52" t="s">
        <v>20</v>
      </c>
      <c r="D50" s="53" t="s">
        <v>64</v>
      </c>
      <c r="E50" s="36" t="s">
        <v>134</v>
      </c>
      <c r="F50" s="36" t="s">
        <v>194</v>
      </c>
      <c r="G50" s="36" t="s">
        <v>235</v>
      </c>
      <c r="H50" s="36" t="s">
        <v>289</v>
      </c>
      <c r="I50" s="36" t="s">
        <v>336</v>
      </c>
      <c r="J50" s="36">
        <v>4</v>
      </c>
      <c r="K50" s="36">
        <f t="shared" ref="K50" si="18">J50*5</f>
        <v>20</v>
      </c>
      <c r="L50" s="36"/>
    </row>
    <row r="51" spans="1:12" x14ac:dyDescent="0.25">
      <c r="A51" s="1"/>
      <c r="B51" s="61">
        <f t="shared" si="0"/>
        <v>42</v>
      </c>
      <c r="C51" s="50" t="s">
        <v>21</v>
      </c>
      <c r="D51" s="51" t="s">
        <v>65</v>
      </c>
      <c r="E51" s="51" t="s">
        <v>135</v>
      </c>
      <c r="F51" s="51" t="s">
        <v>195</v>
      </c>
      <c r="G51" s="51" t="s">
        <v>236</v>
      </c>
      <c r="H51" s="51" t="s">
        <v>265</v>
      </c>
      <c r="I51" s="51" t="s">
        <v>315</v>
      </c>
      <c r="J51" s="51">
        <v>1</v>
      </c>
      <c r="K51" s="51">
        <f>J51*5</f>
        <v>5</v>
      </c>
      <c r="L51" s="55"/>
    </row>
    <row r="52" spans="1:12" x14ac:dyDescent="0.25">
      <c r="A52" s="1"/>
      <c r="B52" s="61">
        <f t="shared" si="0"/>
        <v>43</v>
      </c>
      <c r="C52" s="52" t="s">
        <v>21</v>
      </c>
      <c r="D52" s="53" t="s">
        <v>66</v>
      </c>
      <c r="E52" s="36" t="s">
        <v>136</v>
      </c>
      <c r="F52" s="36" t="s">
        <v>195</v>
      </c>
      <c r="G52" s="36" t="s">
        <v>237</v>
      </c>
      <c r="H52" s="36" t="s">
        <v>265</v>
      </c>
      <c r="I52" s="36" t="s">
        <v>343</v>
      </c>
      <c r="J52" s="36">
        <v>1</v>
      </c>
      <c r="K52" s="36">
        <f t="shared" ref="K52" si="19">J52*5</f>
        <v>5</v>
      </c>
      <c r="L52" s="36"/>
    </row>
    <row r="53" spans="1:12" ht="24" x14ac:dyDescent="0.25">
      <c r="A53" s="1"/>
      <c r="B53" s="61">
        <f t="shared" si="0"/>
        <v>44</v>
      </c>
      <c r="C53" s="50" t="s">
        <v>21</v>
      </c>
      <c r="D53" s="51" t="s">
        <v>67</v>
      </c>
      <c r="E53" s="51" t="s">
        <v>137</v>
      </c>
      <c r="F53" s="51" t="s">
        <v>195</v>
      </c>
      <c r="G53" s="51" t="s">
        <v>238</v>
      </c>
      <c r="H53" s="51" t="s">
        <v>265</v>
      </c>
      <c r="I53" s="51" t="s">
        <v>316</v>
      </c>
      <c r="J53" s="51">
        <v>13</v>
      </c>
      <c r="K53" s="51">
        <f>J53*5</f>
        <v>65</v>
      </c>
      <c r="L53" s="55"/>
    </row>
    <row r="54" spans="1:12" x14ac:dyDescent="0.25">
      <c r="A54" s="1"/>
      <c r="B54" s="61">
        <f t="shared" si="0"/>
        <v>45</v>
      </c>
      <c r="C54" s="52" t="s">
        <v>21</v>
      </c>
      <c r="D54" s="53" t="s">
        <v>68</v>
      </c>
      <c r="E54" s="36" t="s">
        <v>138</v>
      </c>
      <c r="F54" s="36" t="s">
        <v>195</v>
      </c>
      <c r="G54" s="36" t="s">
        <v>239</v>
      </c>
      <c r="H54" s="36" t="s">
        <v>265</v>
      </c>
      <c r="I54" s="36" t="s">
        <v>317</v>
      </c>
      <c r="J54" s="36">
        <v>1</v>
      </c>
      <c r="K54" s="36">
        <f t="shared" ref="K54" si="20">J54*5</f>
        <v>5</v>
      </c>
      <c r="L54" s="36"/>
    </row>
    <row r="55" spans="1:12" x14ac:dyDescent="0.25">
      <c r="A55" s="1"/>
      <c r="B55" s="61">
        <f t="shared" si="0"/>
        <v>46</v>
      </c>
      <c r="C55" s="50" t="s">
        <v>21</v>
      </c>
      <c r="D55" s="51" t="s">
        <v>69</v>
      </c>
      <c r="E55" s="51" t="s">
        <v>139</v>
      </c>
      <c r="F55" s="51" t="s">
        <v>195</v>
      </c>
      <c r="G55" s="51" t="s">
        <v>240</v>
      </c>
      <c r="H55" s="51" t="s">
        <v>265</v>
      </c>
      <c r="I55" s="51" t="s">
        <v>318</v>
      </c>
      <c r="J55" s="51">
        <v>1</v>
      </c>
      <c r="K55" s="51">
        <f>J55*5</f>
        <v>5</v>
      </c>
      <c r="L55" s="55"/>
    </row>
    <row r="56" spans="1:12" x14ac:dyDescent="0.25">
      <c r="A56" s="1"/>
      <c r="B56" s="61">
        <f t="shared" si="0"/>
        <v>47</v>
      </c>
      <c r="C56" s="52" t="s">
        <v>21</v>
      </c>
      <c r="D56" s="53" t="s">
        <v>70</v>
      </c>
      <c r="E56" s="36" t="s">
        <v>140</v>
      </c>
      <c r="F56" s="36" t="s">
        <v>195</v>
      </c>
      <c r="G56" s="36" t="s">
        <v>241</v>
      </c>
      <c r="H56" s="36" t="s">
        <v>265</v>
      </c>
      <c r="I56" s="36" t="s">
        <v>319</v>
      </c>
      <c r="J56" s="36">
        <v>2</v>
      </c>
      <c r="K56" s="36">
        <f t="shared" ref="K56" si="21">J56*5</f>
        <v>10</v>
      </c>
      <c r="L56" s="36"/>
    </row>
    <row r="57" spans="1:12" x14ac:dyDescent="0.25">
      <c r="A57" s="1"/>
      <c r="B57" s="61">
        <f t="shared" si="0"/>
        <v>48</v>
      </c>
      <c r="C57" s="50" t="s">
        <v>21</v>
      </c>
      <c r="D57" s="51" t="s">
        <v>71</v>
      </c>
      <c r="E57" s="51" t="s">
        <v>141</v>
      </c>
      <c r="F57" s="51" t="s">
        <v>195</v>
      </c>
      <c r="G57" s="51" t="s">
        <v>242</v>
      </c>
      <c r="H57" s="51" t="s">
        <v>265</v>
      </c>
      <c r="I57" s="51" t="s">
        <v>320</v>
      </c>
      <c r="J57" s="51">
        <v>3</v>
      </c>
      <c r="K57" s="51">
        <f>J57*5</f>
        <v>15</v>
      </c>
      <c r="L57" s="55"/>
    </row>
    <row r="58" spans="1:12" x14ac:dyDescent="0.25">
      <c r="A58" s="1"/>
      <c r="B58" s="61">
        <f t="shared" si="0"/>
        <v>49</v>
      </c>
      <c r="C58" s="52" t="s">
        <v>21</v>
      </c>
      <c r="D58" s="53" t="s">
        <v>72</v>
      </c>
      <c r="E58" s="36" t="s">
        <v>142</v>
      </c>
      <c r="F58" s="36" t="s">
        <v>195</v>
      </c>
      <c r="G58" s="36" t="s">
        <v>243</v>
      </c>
      <c r="H58" s="36" t="s">
        <v>265</v>
      </c>
      <c r="I58" s="36" t="s">
        <v>321</v>
      </c>
      <c r="J58" s="36">
        <v>4</v>
      </c>
      <c r="K58" s="36">
        <f t="shared" ref="K58" si="22">J58*5</f>
        <v>20</v>
      </c>
      <c r="L58" s="36"/>
    </row>
    <row r="59" spans="1:12" x14ac:dyDescent="0.25">
      <c r="A59" s="1"/>
      <c r="B59" s="61">
        <f t="shared" si="0"/>
        <v>50</v>
      </c>
      <c r="C59" s="50" t="s">
        <v>21</v>
      </c>
      <c r="D59" s="51" t="s">
        <v>73</v>
      </c>
      <c r="E59" s="51" t="s">
        <v>143</v>
      </c>
      <c r="F59" s="51" t="s">
        <v>195</v>
      </c>
      <c r="G59" s="51" t="s">
        <v>244</v>
      </c>
      <c r="H59" s="51" t="s">
        <v>265</v>
      </c>
      <c r="I59" s="51" t="s">
        <v>322</v>
      </c>
      <c r="J59" s="51">
        <v>1</v>
      </c>
      <c r="K59" s="51">
        <f>J59*5</f>
        <v>5</v>
      </c>
      <c r="L59" s="55"/>
    </row>
    <row r="60" spans="1:12" x14ac:dyDescent="0.25">
      <c r="A60" s="1"/>
      <c r="B60" s="61">
        <f t="shared" si="0"/>
        <v>51</v>
      </c>
      <c r="C60" s="52" t="s">
        <v>21</v>
      </c>
      <c r="D60" s="53" t="s">
        <v>74</v>
      </c>
      <c r="E60" s="36" t="s">
        <v>144</v>
      </c>
      <c r="F60" s="36" t="s">
        <v>195</v>
      </c>
      <c r="G60" s="36" t="s">
        <v>245</v>
      </c>
      <c r="H60" s="36" t="s">
        <v>265</v>
      </c>
      <c r="I60" s="36" t="s">
        <v>323</v>
      </c>
      <c r="J60" s="36">
        <v>3</v>
      </c>
      <c r="K60" s="36">
        <f t="shared" ref="K60" si="23">J60*5</f>
        <v>15</v>
      </c>
      <c r="L60" s="36"/>
    </row>
    <row r="61" spans="1:12" x14ac:dyDescent="0.25">
      <c r="A61" s="1"/>
      <c r="B61" s="61">
        <f t="shared" si="0"/>
        <v>52</v>
      </c>
      <c r="C61" s="50" t="s">
        <v>21</v>
      </c>
      <c r="D61" s="51" t="s">
        <v>75</v>
      </c>
      <c r="E61" s="51" t="s">
        <v>145</v>
      </c>
      <c r="F61" s="51" t="s">
        <v>195</v>
      </c>
      <c r="G61" s="51" t="s">
        <v>246</v>
      </c>
      <c r="H61" s="51" t="s">
        <v>265</v>
      </c>
      <c r="I61" s="51" t="s">
        <v>324</v>
      </c>
      <c r="J61" s="51">
        <v>6</v>
      </c>
      <c r="K61" s="51">
        <f>J61*5</f>
        <v>30</v>
      </c>
      <c r="L61" s="55"/>
    </row>
    <row r="62" spans="1:12" x14ac:dyDescent="0.25">
      <c r="A62" s="1"/>
      <c r="B62" s="61">
        <f t="shared" si="0"/>
        <v>53</v>
      </c>
      <c r="C62" s="52" t="s">
        <v>21</v>
      </c>
      <c r="D62" s="53" t="s">
        <v>76</v>
      </c>
      <c r="E62" s="36" t="s">
        <v>146</v>
      </c>
      <c r="F62" s="36" t="s">
        <v>195</v>
      </c>
      <c r="G62" s="36" t="s">
        <v>247</v>
      </c>
      <c r="H62" s="36" t="s">
        <v>265</v>
      </c>
      <c r="I62" s="36" t="s">
        <v>325</v>
      </c>
      <c r="J62" s="36">
        <v>4</v>
      </c>
      <c r="K62" s="36">
        <f t="shared" ref="K62" si="24">J62*5</f>
        <v>20</v>
      </c>
      <c r="L62" s="36"/>
    </row>
    <row r="63" spans="1:12" x14ac:dyDescent="0.25">
      <c r="A63" s="1"/>
      <c r="B63" s="61">
        <f t="shared" si="0"/>
        <v>54</v>
      </c>
      <c r="C63" s="50" t="s">
        <v>21</v>
      </c>
      <c r="D63" s="51" t="s">
        <v>77</v>
      </c>
      <c r="E63" s="51" t="s">
        <v>147</v>
      </c>
      <c r="F63" s="51" t="s">
        <v>195</v>
      </c>
      <c r="G63" s="51" t="s">
        <v>248</v>
      </c>
      <c r="H63" s="51" t="s">
        <v>265</v>
      </c>
      <c r="I63" s="51" t="s">
        <v>326</v>
      </c>
      <c r="J63" s="51">
        <v>1</v>
      </c>
      <c r="K63" s="51">
        <f>J63*5</f>
        <v>5</v>
      </c>
      <c r="L63" s="55"/>
    </row>
    <row r="64" spans="1:12" x14ac:dyDescent="0.25">
      <c r="A64" s="1"/>
      <c r="B64" s="61">
        <f t="shared" si="0"/>
        <v>55</v>
      </c>
      <c r="C64" s="52" t="s">
        <v>21</v>
      </c>
      <c r="D64" s="53" t="s">
        <v>78</v>
      </c>
      <c r="E64" s="36" t="s">
        <v>148</v>
      </c>
      <c r="F64" s="36" t="s">
        <v>195</v>
      </c>
      <c r="G64" s="36" t="s">
        <v>249</v>
      </c>
      <c r="H64" s="36" t="s">
        <v>265</v>
      </c>
      <c r="I64" s="36" t="s">
        <v>327</v>
      </c>
      <c r="J64" s="36">
        <v>3</v>
      </c>
      <c r="K64" s="36">
        <f t="shared" ref="K64" si="25">J64*5</f>
        <v>15</v>
      </c>
      <c r="L64" s="36"/>
    </row>
    <row r="65" spans="1:12" x14ac:dyDescent="0.25">
      <c r="A65" s="1"/>
      <c r="B65" s="61">
        <f t="shared" si="0"/>
        <v>56</v>
      </c>
      <c r="C65" s="50" t="s">
        <v>21</v>
      </c>
      <c r="D65" s="51" t="s">
        <v>79</v>
      </c>
      <c r="E65" s="51" t="s">
        <v>149</v>
      </c>
      <c r="F65" s="51" t="s">
        <v>195</v>
      </c>
      <c r="G65" s="51" t="s">
        <v>250</v>
      </c>
      <c r="H65" s="51" t="s">
        <v>265</v>
      </c>
      <c r="I65" s="51" t="s">
        <v>328</v>
      </c>
      <c r="J65" s="51">
        <v>1</v>
      </c>
      <c r="K65" s="51">
        <f>J65*5</f>
        <v>5</v>
      </c>
      <c r="L65" s="55"/>
    </row>
    <row r="66" spans="1:12" x14ac:dyDescent="0.25">
      <c r="A66" s="1"/>
      <c r="B66" s="61">
        <f t="shared" si="0"/>
        <v>57</v>
      </c>
      <c r="C66" s="52" t="s">
        <v>21</v>
      </c>
      <c r="D66" s="53" t="s">
        <v>80</v>
      </c>
      <c r="E66" s="36" t="s">
        <v>150</v>
      </c>
      <c r="F66" s="36" t="s">
        <v>195</v>
      </c>
      <c r="G66" s="36" t="s">
        <v>251</v>
      </c>
      <c r="H66" s="36" t="s">
        <v>265</v>
      </c>
      <c r="I66" s="36" t="s">
        <v>329</v>
      </c>
      <c r="J66" s="36">
        <v>1</v>
      </c>
      <c r="K66" s="36">
        <f t="shared" ref="K66" si="26">J66*5</f>
        <v>5</v>
      </c>
      <c r="L66" s="36"/>
    </row>
    <row r="67" spans="1:12" x14ac:dyDescent="0.25">
      <c r="A67" s="1"/>
      <c r="B67" s="61">
        <f t="shared" si="0"/>
        <v>58</v>
      </c>
      <c r="C67" s="50" t="s">
        <v>21</v>
      </c>
      <c r="D67" s="51" t="s">
        <v>81</v>
      </c>
      <c r="E67" s="51" t="s">
        <v>151</v>
      </c>
      <c r="F67" s="51" t="s">
        <v>196</v>
      </c>
      <c r="G67" s="51" t="s">
        <v>252</v>
      </c>
      <c r="H67" s="51" t="s">
        <v>265</v>
      </c>
      <c r="I67" s="51" t="s">
        <v>323</v>
      </c>
      <c r="J67" s="51">
        <v>1</v>
      </c>
      <c r="K67" s="51">
        <f>J67*5</f>
        <v>5</v>
      </c>
      <c r="L67" s="55"/>
    </row>
    <row r="68" spans="1:12" x14ac:dyDescent="0.25">
      <c r="A68" s="1"/>
      <c r="B68" s="61">
        <f t="shared" si="0"/>
        <v>59</v>
      </c>
      <c r="C68" s="52" t="s">
        <v>21</v>
      </c>
      <c r="D68" s="53" t="s">
        <v>82</v>
      </c>
      <c r="E68" s="36" t="s">
        <v>152</v>
      </c>
      <c r="F68" s="36" t="s">
        <v>196</v>
      </c>
      <c r="G68" s="36" t="s">
        <v>253</v>
      </c>
      <c r="H68" s="36" t="s">
        <v>265</v>
      </c>
      <c r="I68" s="36" t="s">
        <v>330</v>
      </c>
      <c r="J68" s="36">
        <v>1</v>
      </c>
      <c r="K68" s="36">
        <f t="shared" ref="K68" si="27">J68*5</f>
        <v>5</v>
      </c>
      <c r="L68" s="36"/>
    </row>
    <row r="69" spans="1:12" x14ac:dyDescent="0.25">
      <c r="A69" s="1"/>
      <c r="B69" s="61">
        <f t="shared" si="0"/>
        <v>60</v>
      </c>
      <c r="C69" s="62" t="s">
        <v>337</v>
      </c>
      <c r="D69" s="63" t="s">
        <v>83</v>
      </c>
      <c r="E69" s="63" t="s">
        <v>153</v>
      </c>
      <c r="F69" s="63" t="s">
        <v>336</v>
      </c>
      <c r="G69" s="63" t="s">
        <v>197</v>
      </c>
      <c r="H69" s="63" t="s">
        <v>336</v>
      </c>
      <c r="I69" s="63" t="s">
        <v>336</v>
      </c>
      <c r="J69" s="63">
        <v>2</v>
      </c>
      <c r="K69" s="63">
        <f>J69*5</f>
        <v>10</v>
      </c>
      <c r="L69" s="63"/>
    </row>
    <row r="70" spans="1:12" x14ac:dyDescent="0.25">
      <c r="A70" s="1"/>
      <c r="B70" s="61">
        <f t="shared" si="0"/>
        <v>61</v>
      </c>
      <c r="C70" s="52" t="s">
        <v>338</v>
      </c>
      <c r="D70" s="53" t="s">
        <v>84</v>
      </c>
      <c r="E70" s="36" t="s">
        <v>154</v>
      </c>
      <c r="F70" s="36" t="s">
        <v>336</v>
      </c>
      <c r="G70" s="36" t="s">
        <v>254</v>
      </c>
      <c r="H70" s="36" t="s">
        <v>290</v>
      </c>
      <c r="I70" s="36" t="s">
        <v>336</v>
      </c>
      <c r="J70" s="36">
        <v>1</v>
      </c>
      <c r="K70" s="36">
        <f t="shared" ref="K70" si="28">J70*5</f>
        <v>5</v>
      </c>
      <c r="L70" s="36"/>
    </row>
    <row r="71" spans="1:12" ht="36" x14ac:dyDescent="0.25">
      <c r="A71" s="1"/>
      <c r="B71" s="61">
        <f t="shared" si="0"/>
        <v>62</v>
      </c>
      <c r="C71" s="50" t="s">
        <v>22</v>
      </c>
      <c r="D71" s="51" t="s">
        <v>85</v>
      </c>
      <c r="E71" s="51" t="s">
        <v>155</v>
      </c>
      <c r="F71" s="51" t="s">
        <v>198</v>
      </c>
      <c r="G71" s="51" t="s">
        <v>255</v>
      </c>
      <c r="H71" s="51" t="s">
        <v>291</v>
      </c>
      <c r="I71" s="51" t="s">
        <v>336</v>
      </c>
      <c r="J71" s="51">
        <v>1</v>
      </c>
      <c r="K71" s="51">
        <f>J71*5</f>
        <v>5</v>
      </c>
      <c r="L71" s="55"/>
    </row>
    <row r="72" spans="1:12" ht="24" x14ac:dyDescent="0.25">
      <c r="A72" s="1"/>
      <c r="B72" s="61">
        <f t="shared" si="0"/>
        <v>63</v>
      </c>
      <c r="C72" s="52" t="s">
        <v>22</v>
      </c>
      <c r="D72" s="53" t="s">
        <v>86</v>
      </c>
      <c r="E72" s="36" t="s">
        <v>156</v>
      </c>
      <c r="F72" s="36" t="s">
        <v>199</v>
      </c>
      <c r="G72" s="36" t="s">
        <v>256</v>
      </c>
      <c r="H72" s="36" t="s">
        <v>292</v>
      </c>
      <c r="I72" s="36" t="s">
        <v>336</v>
      </c>
      <c r="J72" s="36">
        <v>1</v>
      </c>
      <c r="K72" s="36">
        <f t="shared" ref="K72" si="29">J72*5</f>
        <v>5</v>
      </c>
      <c r="L72" s="36"/>
    </row>
    <row r="73" spans="1:12" ht="36" x14ac:dyDescent="0.25">
      <c r="A73" s="1"/>
      <c r="B73" s="61">
        <f t="shared" si="0"/>
        <v>64</v>
      </c>
      <c r="C73" s="50" t="s">
        <v>22</v>
      </c>
      <c r="D73" s="51" t="s">
        <v>87</v>
      </c>
      <c r="E73" s="51" t="s">
        <v>157</v>
      </c>
      <c r="F73" s="51" t="s">
        <v>200</v>
      </c>
      <c r="G73" s="51" t="s">
        <v>257</v>
      </c>
      <c r="H73" s="51" t="s">
        <v>293</v>
      </c>
      <c r="I73" s="51" t="s">
        <v>336</v>
      </c>
      <c r="J73" s="51">
        <v>1</v>
      </c>
      <c r="K73" s="51">
        <f>J73*5</f>
        <v>5</v>
      </c>
      <c r="L73" s="55"/>
    </row>
    <row r="74" spans="1:12" x14ac:dyDescent="0.25">
      <c r="A74" s="1"/>
      <c r="B74" s="61">
        <f t="shared" si="0"/>
        <v>65</v>
      </c>
      <c r="C74" s="52" t="s">
        <v>22</v>
      </c>
      <c r="D74" s="53" t="s">
        <v>88</v>
      </c>
      <c r="E74" s="36" t="s">
        <v>158</v>
      </c>
      <c r="F74" s="36" t="s">
        <v>201</v>
      </c>
      <c r="G74" s="36" t="s">
        <v>258</v>
      </c>
      <c r="H74" s="36" t="s">
        <v>294</v>
      </c>
      <c r="I74" s="36" t="s">
        <v>336</v>
      </c>
      <c r="J74" s="36">
        <v>4</v>
      </c>
      <c r="K74" s="36">
        <f t="shared" ref="K74" si="30">J74*5</f>
        <v>20</v>
      </c>
      <c r="L74" s="36"/>
    </row>
    <row r="75" spans="1:12" x14ac:dyDescent="0.25">
      <c r="A75" s="1"/>
      <c r="B75" s="61">
        <f t="shared" ref="B75:B83" si="31">ROW(B75) - ROW($B$9)</f>
        <v>66</v>
      </c>
      <c r="C75" s="50" t="s">
        <v>22</v>
      </c>
      <c r="D75" s="51" t="s">
        <v>89</v>
      </c>
      <c r="E75" s="51" t="s">
        <v>159</v>
      </c>
      <c r="F75" s="51" t="s">
        <v>202</v>
      </c>
      <c r="G75" s="51" t="s">
        <v>259</v>
      </c>
      <c r="H75" s="51" t="s">
        <v>295</v>
      </c>
      <c r="I75" s="51" t="s">
        <v>336</v>
      </c>
      <c r="J75" s="51">
        <v>2</v>
      </c>
      <c r="K75" s="51">
        <f>J75*5</f>
        <v>10</v>
      </c>
      <c r="L75" s="55"/>
    </row>
    <row r="76" spans="1:12" x14ac:dyDescent="0.25">
      <c r="A76" s="1"/>
      <c r="B76" s="61">
        <f t="shared" si="31"/>
        <v>67</v>
      </c>
      <c r="C76" s="52" t="s">
        <v>22</v>
      </c>
      <c r="D76" s="53" t="s">
        <v>90</v>
      </c>
      <c r="E76" s="36" t="s">
        <v>160</v>
      </c>
      <c r="F76" s="36" t="s">
        <v>201</v>
      </c>
      <c r="G76" s="36" t="s">
        <v>260</v>
      </c>
      <c r="H76" s="36" t="s">
        <v>295</v>
      </c>
      <c r="I76" s="36" t="s">
        <v>336</v>
      </c>
      <c r="J76" s="36">
        <v>1</v>
      </c>
      <c r="K76" s="36">
        <f t="shared" ref="K76" si="32">J76*5</f>
        <v>5</v>
      </c>
      <c r="L76" s="36"/>
    </row>
    <row r="77" spans="1:12" ht="24" x14ac:dyDescent="0.25">
      <c r="A77" s="1"/>
      <c r="B77" s="61">
        <f t="shared" si="31"/>
        <v>68</v>
      </c>
      <c r="C77" s="50" t="s">
        <v>23</v>
      </c>
      <c r="D77" s="51" t="s">
        <v>91</v>
      </c>
      <c r="E77" s="51" t="s">
        <v>161</v>
      </c>
      <c r="F77" s="51" t="s">
        <v>336</v>
      </c>
      <c r="G77" s="51" t="s">
        <v>203</v>
      </c>
      <c r="H77" s="51" t="s">
        <v>296</v>
      </c>
      <c r="I77" s="51" t="s">
        <v>336</v>
      </c>
      <c r="J77" s="51">
        <v>1</v>
      </c>
      <c r="K77" s="51">
        <f>J77*5</f>
        <v>5</v>
      </c>
      <c r="L77" s="55"/>
    </row>
    <row r="78" spans="1:12" x14ac:dyDescent="0.25">
      <c r="A78" s="1"/>
      <c r="B78" s="61">
        <f t="shared" si="31"/>
        <v>69</v>
      </c>
      <c r="C78" s="52" t="s">
        <v>22</v>
      </c>
      <c r="D78" s="53" t="s">
        <v>92</v>
      </c>
      <c r="E78" s="36" t="s">
        <v>162</v>
      </c>
      <c r="F78" s="36" t="s">
        <v>204</v>
      </c>
      <c r="G78" s="36" t="s">
        <v>261</v>
      </c>
      <c r="H78" s="36" t="s">
        <v>297</v>
      </c>
      <c r="I78" s="36" t="s">
        <v>336</v>
      </c>
      <c r="J78" s="36">
        <v>1</v>
      </c>
      <c r="K78" s="36">
        <f t="shared" ref="K78" si="33">J78*5</f>
        <v>5</v>
      </c>
      <c r="L78" s="36"/>
    </row>
    <row r="79" spans="1:12" x14ac:dyDescent="0.25">
      <c r="A79" s="1"/>
      <c r="B79" s="61">
        <f t="shared" si="31"/>
        <v>70</v>
      </c>
      <c r="C79" s="50" t="s">
        <v>22</v>
      </c>
      <c r="D79" s="51" t="s">
        <v>93</v>
      </c>
      <c r="E79" s="51" t="s">
        <v>163</v>
      </c>
      <c r="F79" s="51" t="s">
        <v>205</v>
      </c>
      <c r="G79" s="51" t="s">
        <v>262</v>
      </c>
      <c r="H79" s="51" t="s">
        <v>298</v>
      </c>
      <c r="I79" s="51" t="s">
        <v>336</v>
      </c>
      <c r="J79" s="51">
        <v>1</v>
      </c>
      <c r="K79" s="51">
        <f>J79*5</f>
        <v>5</v>
      </c>
      <c r="L79" s="55"/>
    </row>
    <row r="80" spans="1:12" ht="36" x14ac:dyDescent="0.25">
      <c r="A80" s="1"/>
      <c r="B80" s="61">
        <f t="shared" si="31"/>
        <v>71</v>
      </c>
      <c r="C80" s="52" t="s">
        <v>24</v>
      </c>
      <c r="D80" s="53" t="s">
        <v>94</v>
      </c>
      <c r="E80" s="36" t="s">
        <v>164</v>
      </c>
      <c r="F80" s="36" t="s">
        <v>206</v>
      </c>
      <c r="G80" s="36" t="s">
        <v>263</v>
      </c>
      <c r="H80" s="36" t="s">
        <v>299</v>
      </c>
      <c r="I80" s="36" t="s">
        <v>336</v>
      </c>
      <c r="J80" s="36">
        <v>1</v>
      </c>
      <c r="K80" s="36">
        <f t="shared" ref="K80:K83" si="34">J80*5</f>
        <v>5</v>
      </c>
      <c r="L80" s="36"/>
    </row>
    <row r="81" spans="1:12" x14ac:dyDescent="0.25">
      <c r="A81" s="1"/>
      <c r="B81" s="61">
        <f t="shared" si="31"/>
        <v>72</v>
      </c>
      <c r="C81" s="57" t="s">
        <v>348</v>
      </c>
      <c r="D81" s="58" t="s">
        <v>349</v>
      </c>
      <c r="E81" s="59" t="s">
        <v>350</v>
      </c>
      <c r="F81" s="59" t="s">
        <v>333</v>
      </c>
      <c r="G81" s="59" t="s">
        <v>351</v>
      </c>
      <c r="H81" s="59" t="s">
        <v>352</v>
      </c>
      <c r="I81" s="59" t="s">
        <v>336</v>
      </c>
      <c r="J81" s="59">
        <v>1</v>
      </c>
      <c r="K81" s="59">
        <f t="shared" si="34"/>
        <v>5</v>
      </c>
      <c r="L81" s="59"/>
    </row>
    <row r="82" spans="1:12" x14ac:dyDescent="0.25">
      <c r="A82" s="1"/>
      <c r="B82" s="61">
        <f t="shared" si="31"/>
        <v>73</v>
      </c>
      <c r="C82" s="52" t="s">
        <v>348</v>
      </c>
      <c r="D82" s="60" t="s">
        <v>349</v>
      </c>
      <c r="E82" s="36" t="s">
        <v>353</v>
      </c>
      <c r="F82" s="36" t="s">
        <v>333</v>
      </c>
      <c r="G82" s="36" t="s">
        <v>354</v>
      </c>
      <c r="H82" s="36" t="s">
        <v>352</v>
      </c>
      <c r="I82" s="36" t="s">
        <v>336</v>
      </c>
      <c r="J82" s="36">
        <v>1</v>
      </c>
      <c r="K82" s="36">
        <f t="shared" si="34"/>
        <v>5</v>
      </c>
      <c r="L82" s="36"/>
    </row>
    <row r="83" spans="1:12" ht="24.75" thickBot="1" x14ac:dyDescent="0.3">
      <c r="A83" s="1"/>
      <c r="B83" s="61">
        <f t="shared" si="31"/>
        <v>74</v>
      </c>
      <c r="C83" s="66" t="s">
        <v>348</v>
      </c>
      <c r="D83" s="67" t="s">
        <v>349</v>
      </c>
      <c r="E83" s="64" t="s">
        <v>355</v>
      </c>
      <c r="F83" s="64" t="s">
        <v>333</v>
      </c>
      <c r="G83" s="64" t="s">
        <v>356</v>
      </c>
      <c r="H83" s="64" t="s">
        <v>352</v>
      </c>
      <c r="I83" s="64" t="s">
        <v>336</v>
      </c>
      <c r="J83" s="64">
        <v>1</v>
      </c>
      <c r="K83" s="64">
        <f t="shared" si="34"/>
        <v>5</v>
      </c>
      <c r="L83" s="64"/>
    </row>
    <row r="84" spans="1:12" x14ac:dyDescent="0.25">
      <c r="A84" s="1"/>
      <c r="B84" s="31"/>
      <c r="C84" s="43"/>
      <c r="D84" s="32"/>
      <c r="E84" s="33"/>
      <c r="F84" s="34"/>
      <c r="G84" s="35"/>
      <c r="H84" s="34"/>
      <c r="I84" s="35"/>
      <c r="J84" s="35"/>
      <c r="K84" s="35"/>
      <c r="L84" s="68"/>
    </row>
    <row r="85" spans="1:12" ht="15.75" thickBot="1" x14ac:dyDescent="0.3">
      <c r="B85" s="24"/>
      <c r="C85" s="44"/>
      <c r="D85" s="8"/>
      <c r="E85" s="9"/>
      <c r="F85" s="9"/>
      <c r="G85" s="9"/>
      <c r="H85" s="9"/>
      <c r="I85" s="9"/>
      <c r="J85" s="9"/>
      <c r="K85" s="9"/>
      <c r="L85" s="65"/>
    </row>
  </sheetData>
  <mergeCells count="2">
    <mergeCell ref="I1:L1"/>
    <mergeCell ref="L3:L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HP</cp:lastModifiedBy>
  <dcterms:created xsi:type="dcterms:W3CDTF">2019-12-12T10:34:26Z</dcterms:created>
  <dcterms:modified xsi:type="dcterms:W3CDTF">2023-01-25T16:04:26Z</dcterms:modified>
</cp:coreProperties>
</file>